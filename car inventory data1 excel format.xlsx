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ial_data aalysis\Done data\"/>
    </mc:Choice>
  </mc:AlternateContent>
  <xr:revisionPtr revIDLastSave="0" documentId="8_{787BF626-0CBE-495D-AC21-654242A1E65B}" xr6:coauthVersionLast="47" xr6:coauthVersionMax="47" xr10:uidLastSave="{00000000-0000-0000-0000-000000000000}"/>
  <bookViews>
    <workbookView xWindow="-120" yWindow="-120" windowWidth="20730" windowHeight="11160" activeTab="1" xr2:uid="{45E41533-BF06-4168-9264-9E9413296A6E}"/>
  </bookViews>
  <sheets>
    <sheet name="car inventory data" sheetId="1" r:id="rId1"/>
    <sheet name="Clean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B2" i="2"/>
  <c r="C2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</calcChain>
</file>

<file path=xl/sharedStrings.xml><?xml version="1.0" encoding="utf-8"?>
<sst xmlns="http://schemas.openxmlformats.org/spreadsheetml/2006/main" count="340" uniqueCount="98">
  <si>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</si>
  <si>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</si>
  <si>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</si>
  <si>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</si>
  <si>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</si>
  <si>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</si>
  <si>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</si>
  <si>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</si>
  <si>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</si>
  <si>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</si>
  <si>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</si>
  <si>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</si>
  <si>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</si>
  <si>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</si>
  <si>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</si>
  <si>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</si>
  <si>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</si>
  <si>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</si>
  <si>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</si>
  <si>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</si>
  <si>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</si>
  <si>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</si>
  <si>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</si>
  <si>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</si>
  <si>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</si>
  <si>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</si>
  <si>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FDO6FCS006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</si>
  <si>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</si>
  <si>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</si>
  <si>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</si>
  <si>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</si>
  <si>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</si>
  <si>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</si>
  <si>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</si>
  <si>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</si>
  <si>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</si>
  <si>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</si>
  <si>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</si>
  <si>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</si>
  <si>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</si>
  <si>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GMO9CMR014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</si>
  <si>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</si>
  <si>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</si>
  <si>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</si>
  <si>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</si>
  <si>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</si>
  <si>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</si>
  <si>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</si>
  <si>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</si>
  <si>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</si>
  <si>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</si>
  <si>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</si>
  <si>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</si>
  <si>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</si>
  <si>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</si>
  <si>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</si>
  <si>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</si>
  <si>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</si>
  <si>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</si>
  <si>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</si>
  <si>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</si>
  <si>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</si>
  <si>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</si>
  <si>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</si>
  <si>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</si>
  <si>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</si>
  <si>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</si>
  <si>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</si>
  <si>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</si>
  <si>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</si>
  <si>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</si>
  <si>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</si>
  <si>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HOO5ODY037</t>
  </si>
  <si>
    <t>HO07ODY038</t>
  </si>
  <si>
    <t>HO08ODY039</t>
  </si>
  <si>
    <t>HO010ODY040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</si>
  <si>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</si>
  <si>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</si>
  <si>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</si>
  <si>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</si>
  <si>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</si>
  <si>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</si>
  <si>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</si>
  <si>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</si>
  <si>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</si>
  <si>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</si>
  <si>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</si>
  <si>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</si>
  <si>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FD06FCS006</t>
  </si>
  <si>
    <t>GM09CMR014</t>
  </si>
  <si>
    <t>HO05ODY037</t>
  </si>
  <si>
    <t>CR01CAR046</t>
  </si>
  <si>
    <t>TY01CAM022</t>
  </si>
  <si>
    <t>GM01SLV019</t>
  </si>
  <si>
    <t>Manufacture year</t>
  </si>
  <si>
    <t>Age of car</t>
  </si>
  <si>
    <t>Miles covered/Year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</si>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</sst>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0" xfId="0" applyNumberForma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2" formatCode="0.00"/>
    </dxf>
    <dxf>
      <numFmt numFmtId="0" formatCode="General"/>
    </dxf>
    <dxf>
      <numFmt numFmtId="35" formatCode="_(* #,##0.00_);_(* \(#,##0.00\);_(* &quot;-&quot;??_);_(@_)"/>
    </dxf>
    <dxf>
      <numFmt numFmtId="1" formatCode="0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47EBC-95F8-4821-85E0-C78DA90A79EB}" name="Table1" displayName="Table1" ref="A1:N53" totalsRowShown="0">
  <tableColumns count="14">
    <tableColumn id="1" xr3:uid="{7BF60601-0E8B-48C6-9C01-D995A4CC47D9}" name="Car ID"/>
    <tableColumn id="2" xr3:uid="{53A1F13C-7167-4ECD-A9F4-0D457D944ABD}" name="Make" dataDxfId="13">
      <calculatedColumnFormula>LEFT(Table1[[#This Row],[Car ID]],2)</calculatedColumnFormula>
    </tableColumn>
    <tableColumn id="3" xr3:uid="{3E8B9A2D-2B56-4553-BA19-2717F7DAD267}" name="Make (Full Name)" dataDxfId="10">
      <calculatedColumnFormula>IF(Table1[[#This Row],[Make]]="FD","Ford",IF(Table1[[#This Row],[Make]]="TY","Toyota",IF(Table1[[#This Row],[Make]]="HO","Honda",IF(Table1[[#This Row],[Make]]="CR","Crysler",IF(Table1[[#This Row],[Make]]="HY","Hyundai","Nill")))))</calculatedColumnFormula>
    </tableColumn>
    <tableColumn id="4" xr3:uid="{37289F66-565D-4A71-AA92-A07C456CFF4E}" name="Model" dataDxfId="7">
      <calculatedColumnFormula>MID(Table1[[#This Row],[Car ID]],5,3)</calculatedColumnFormula>
    </tableColumn>
    <tableColumn id="21" xr3:uid="{CF3A6CC4-517A-4546-A3C7-40D5A2472DC1}" name="Year" dataDxfId="6"/>
    <tableColumn id="18" xr3:uid="{8638DC65-AC1E-45A6-9C1F-6D1469D802D7}" name="Manufacture year" dataDxfId="9"/>
    <tableColumn id="19" xr3:uid="{EEC20557-A868-4732-A801-D3F861431E08}" name="Age of car"/>
    <tableColumn id="8" xr3:uid="{EE10D77F-8898-425B-A891-003EC69C6D03}" name="Miles" dataCellStyle="Comma"/>
    <tableColumn id="9" xr3:uid="{D527461A-D196-4CDF-A075-9F8B6CBEA16E}" name="Miles covered/Year" dataDxfId="8" dataCellStyle="Comma">
      <calculatedColumnFormula>Table1[[#This Row],[Miles]]/Table1[[#This Row],[Age of car]]</calculatedColumnFormula>
    </tableColumn>
    <tableColumn id="10" xr3:uid="{207B7583-A21A-4807-B8F3-82A168B4A076}" name="Color"/>
    <tableColumn id="11" xr3:uid="{8C0309F9-BA7C-43C9-8357-85EC86A71CCE}" name="Driver"/>
    <tableColumn id="12" xr3:uid="{314EB00A-E2B6-4066-9CB6-EA8CA4886652}" name="Warantee Miles" dataDxfId="12" dataCellStyle="Comma"/>
    <tableColumn id="13" xr3:uid="{3E19E3E2-9EB6-435C-AC0C-07CD1C624BDB}" name="Covered?" dataDxfId="11">
      <calculatedColumnFormula>IF(Table1[[#This Row],[Warantee Miles]]&gt;Table1[[#This Row],[Miles]],"Not yet","Yes")</calculatedColumnFormula>
    </tableColumn>
    <tableColumn id="14" xr3:uid="{AD75407C-5873-41D9-BFE3-B162E1811D08}" name="New Car ID" dataDxfId="5">
      <calculatedColumnFormula>IF(Table1[[#This Row],[Covered?]]="Yes","New tyre","No")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7ACB-3CFD-4579-8A8B-9F9DEE60CA21}">
  <dimension ref="A1:N53"/>
  <sheetViews>
    <sheetView workbookViewId="0">
      <selection activeCell="Q5" sqref="Q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H2">
        <v>40326.800000000003</v>
      </c>
      <c r="J2" t="s">
        <v>15</v>
      </c>
      <c r="K2" t="s">
        <v>16</v>
      </c>
      <c r="L2">
        <v>50000</v>
      </c>
    </row>
    <row r="3" spans="1:14" x14ac:dyDescent="0.25">
      <c r="A3" t="s">
        <v>17</v>
      </c>
      <c r="H3">
        <v>44974.8</v>
      </c>
      <c r="J3" t="s">
        <v>18</v>
      </c>
      <c r="K3" t="s">
        <v>19</v>
      </c>
      <c r="L3">
        <v>50000</v>
      </c>
    </row>
    <row r="4" spans="1:14" x14ac:dyDescent="0.25">
      <c r="A4" t="s">
        <v>20</v>
      </c>
      <c r="H4">
        <v>44946.5</v>
      </c>
      <c r="J4" t="s">
        <v>21</v>
      </c>
      <c r="K4" t="s">
        <v>22</v>
      </c>
      <c r="L4">
        <v>50000</v>
      </c>
    </row>
    <row r="5" spans="1:14" x14ac:dyDescent="0.25">
      <c r="A5" t="s">
        <v>23</v>
      </c>
      <c r="H5">
        <v>37558.800000000003</v>
      </c>
      <c r="J5" t="s">
        <v>15</v>
      </c>
      <c r="K5" t="s">
        <v>24</v>
      </c>
      <c r="L5">
        <v>50000</v>
      </c>
    </row>
    <row r="6" spans="1:14" x14ac:dyDescent="0.25">
      <c r="A6" t="s">
        <v>25</v>
      </c>
      <c r="H6">
        <v>36438.5</v>
      </c>
      <c r="J6" t="s">
        <v>18</v>
      </c>
      <c r="K6" t="s">
        <v>16</v>
      </c>
      <c r="L6">
        <v>50000</v>
      </c>
    </row>
    <row r="7" spans="1:14" x14ac:dyDescent="0.25">
      <c r="A7" t="s">
        <v>26</v>
      </c>
      <c r="H7">
        <v>46311.4</v>
      </c>
      <c r="J7" t="s">
        <v>21</v>
      </c>
      <c r="K7" t="s">
        <v>27</v>
      </c>
      <c r="L7">
        <v>75000</v>
      </c>
    </row>
    <row r="8" spans="1:14" x14ac:dyDescent="0.25">
      <c r="A8" t="s">
        <v>28</v>
      </c>
      <c r="H8">
        <v>52229.5</v>
      </c>
      <c r="J8" t="s">
        <v>21</v>
      </c>
      <c r="K8" t="s">
        <v>22</v>
      </c>
      <c r="L8">
        <v>75000</v>
      </c>
    </row>
    <row r="9" spans="1:14" x14ac:dyDescent="0.25">
      <c r="A9" t="s">
        <v>29</v>
      </c>
      <c r="H9">
        <v>35137</v>
      </c>
      <c r="J9" t="s">
        <v>15</v>
      </c>
      <c r="K9" t="s">
        <v>30</v>
      </c>
      <c r="L9">
        <v>75000</v>
      </c>
    </row>
    <row r="10" spans="1:14" x14ac:dyDescent="0.25">
      <c r="A10" t="s">
        <v>31</v>
      </c>
      <c r="H10">
        <v>27637.1</v>
      </c>
      <c r="J10" t="s">
        <v>15</v>
      </c>
      <c r="K10" t="s">
        <v>16</v>
      </c>
      <c r="L10">
        <v>75000</v>
      </c>
    </row>
    <row r="11" spans="1:14" x14ac:dyDescent="0.25">
      <c r="A11" t="s">
        <v>32</v>
      </c>
      <c r="H11">
        <v>27534.799999999999</v>
      </c>
      <c r="J11" t="s">
        <v>18</v>
      </c>
      <c r="K11" t="s">
        <v>33</v>
      </c>
      <c r="L11">
        <v>75000</v>
      </c>
    </row>
    <row r="12" spans="1:14" x14ac:dyDescent="0.25">
      <c r="A12" t="s">
        <v>34</v>
      </c>
      <c r="H12">
        <v>19341.7</v>
      </c>
      <c r="J12" t="s">
        <v>18</v>
      </c>
      <c r="K12" t="s">
        <v>35</v>
      </c>
      <c r="L12">
        <v>75000</v>
      </c>
    </row>
    <row r="13" spans="1:14" x14ac:dyDescent="0.25">
      <c r="A13" t="s">
        <v>36</v>
      </c>
      <c r="H13">
        <v>22521.599999999999</v>
      </c>
      <c r="J13" t="s">
        <v>15</v>
      </c>
      <c r="K13" t="s">
        <v>37</v>
      </c>
      <c r="L13">
        <v>75000</v>
      </c>
    </row>
    <row r="14" spans="1:14" x14ac:dyDescent="0.25">
      <c r="A14" t="s">
        <v>38</v>
      </c>
      <c r="H14">
        <v>13682.9</v>
      </c>
      <c r="J14" t="s">
        <v>15</v>
      </c>
      <c r="K14" t="s">
        <v>39</v>
      </c>
      <c r="L14">
        <v>75000</v>
      </c>
    </row>
    <row r="15" spans="1:14" x14ac:dyDescent="0.25">
      <c r="A15" t="s">
        <v>40</v>
      </c>
      <c r="H15">
        <v>28464.799999999999</v>
      </c>
      <c r="J15" t="s">
        <v>18</v>
      </c>
      <c r="K15" t="s">
        <v>41</v>
      </c>
      <c r="L15">
        <v>100000</v>
      </c>
    </row>
    <row r="16" spans="1:14" x14ac:dyDescent="0.25">
      <c r="A16" t="s">
        <v>42</v>
      </c>
      <c r="H16">
        <v>19421.099999999999</v>
      </c>
      <c r="J16" t="s">
        <v>15</v>
      </c>
      <c r="K16" t="s">
        <v>43</v>
      </c>
      <c r="L16">
        <v>100000</v>
      </c>
    </row>
    <row r="17" spans="1:12" x14ac:dyDescent="0.25">
      <c r="A17" t="s">
        <v>44</v>
      </c>
      <c r="H17">
        <v>14289.6</v>
      </c>
      <c r="J17" t="s">
        <v>18</v>
      </c>
      <c r="K17" t="s">
        <v>45</v>
      </c>
      <c r="L17">
        <v>100000</v>
      </c>
    </row>
    <row r="18" spans="1:12" x14ac:dyDescent="0.25">
      <c r="A18" t="s">
        <v>46</v>
      </c>
      <c r="H18">
        <v>31144.400000000001</v>
      </c>
      <c r="J18" t="s">
        <v>15</v>
      </c>
      <c r="K18" t="s">
        <v>47</v>
      </c>
      <c r="L18">
        <v>100000</v>
      </c>
    </row>
    <row r="19" spans="1:12" x14ac:dyDescent="0.25">
      <c r="A19" t="s">
        <v>48</v>
      </c>
      <c r="H19">
        <v>83162.7</v>
      </c>
      <c r="J19" t="s">
        <v>15</v>
      </c>
      <c r="K19" t="s">
        <v>41</v>
      </c>
      <c r="L19">
        <v>100000</v>
      </c>
    </row>
    <row r="20" spans="1:12" x14ac:dyDescent="0.25">
      <c r="A20" t="s">
        <v>49</v>
      </c>
      <c r="H20">
        <v>80685.8</v>
      </c>
      <c r="J20" t="s">
        <v>50</v>
      </c>
      <c r="K20" t="s">
        <v>37</v>
      </c>
      <c r="L20">
        <v>100000</v>
      </c>
    </row>
    <row r="21" spans="1:12" x14ac:dyDescent="0.25">
      <c r="A21" t="s">
        <v>51</v>
      </c>
      <c r="H21">
        <v>114660.6</v>
      </c>
      <c r="J21" t="s">
        <v>21</v>
      </c>
      <c r="K21" t="s">
        <v>52</v>
      </c>
      <c r="L21">
        <v>100000</v>
      </c>
    </row>
    <row r="22" spans="1:12" x14ac:dyDescent="0.25">
      <c r="A22" t="s">
        <v>53</v>
      </c>
      <c r="H22">
        <v>93382.6</v>
      </c>
      <c r="J22" t="s">
        <v>15</v>
      </c>
      <c r="K22" t="s">
        <v>54</v>
      </c>
      <c r="L22">
        <v>100000</v>
      </c>
    </row>
    <row r="23" spans="1:12" x14ac:dyDescent="0.25">
      <c r="A23" t="s">
        <v>55</v>
      </c>
      <c r="H23">
        <v>85928</v>
      </c>
      <c r="J23" t="s">
        <v>21</v>
      </c>
      <c r="K23" t="s">
        <v>27</v>
      </c>
      <c r="L23">
        <v>100000</v>
      </c>
    </row>
    <row r="24" spans="1:12" x14ac:dyDescent="0.25">
      <c r="A24" t="s">
        <v>56</v>
      </c>
      <c r="H24">
        <v>67829.100000000006</v>
      </c>
      <c r="J24" t="s">
        <v>15</v>
      </c>
      <c r="K24" t="s">
        <v>16</v>
      </c>
      <c r="L24">
        <v>100000</v>
      </c>
    </row>
    <row r="25" spans="1:12" x14ac:dyDescent="0.25">
      <c r="A25" t="s">
        <v>57</v>
      </c>
      <c r="H25">
        <v>48114.2</v>
      </c>
      <c r="J25" t="s">
        <v>18</v>
      </c>
      <c r="K25" t="s">
        <v>30</v>
      </c>
      <c r="L25">
        <v>100000</v>
      </c>
    </row>
    <row r="26" spans="1:12" x14ac:dyDescent="0.25">
      <c r="A26" t="s">
        <v>58</v>
      </c>
      <c r="H26">
        <v>64467.4</v>
      </c>
      <c r="J26" t="s">
        <v>59</v>
      </c>
      <c r="K26" t="s">
        <v>60</v>
      </c>
      <c r="L26">
        <v>100000</v>
      </c>
    </row>
    <row r="27" spans="1:12" x14ac:dyDescent="0.25">
      <c r="A27" t="s">
        <v>61</v>
      </c>
      <c r="H27">
        <v>73444.399999999994</v>
      </c>
      <c r="J27" t="s">
        <v>15</v>
      </c>
      <c r="K27" t="s">
        <v>60</v>
      </c>
      <c r="L27">
        <v>100000</v>
      </c>
    </row>
    <row r="28" spans="1:12" x14ac:dyDescent="0.25">
      <c r="A28" t="s">
        <v>62</v>
      </c>
      <c r="H28">
        <v>17556.3</v>
      </c>
      <c r="J28" t="s">
        <v>50</v>
      </c>
      <c r="K28" t="s">
        <v>33</v>
      </c>
      <c r="L28">
        <v>100000</v>
      </c>
    </row>
    <row r="29" spans="1:12" x14ac:dyDescent="0.25">
      <c r="A29" t="s">
        <v>63</v>
      </c>
      <c r="H29">
        <v>29601.9</v>
      </c>
      <c r="J29" t="s">
        <v>15</v>
      </c>
      <c r="K29" t="s">
        <v>41</v>
      </c>
      <c r="L29">
        <v>100000</v>
      </c>
    </row>
    <row r="30" spans="1:12" x14ac:dyDescent="0.25">
      <c r="A30" t="s">
        <v>64</v>
      </c>
      <c r="H30">
        <v>22128.2</v>
      </c>
      <c r="J30" t="s">
        <v>50</v>
      </c>
      <c r="K30" t="s">
        <v>52</v>
      </c>
      <c r="L30">
        <v>100000</v>
      </c>
    </row>
    <row r="31" spans="1:12" x14ac:dyDescent="0.25">
      <c r="A31" t="s">
        <v>65</v>
      </c>
      <c r="H31">
        <v>82374</v>
      </c>
      <c r="J31" t="s">
        <v>18</v>
      </c>
      <c r="K31" t="s">
        <v>39</v>
      </c>
      <c r="L31">
        <v>75000</v>
      </c>
    </row>
    <row r="32" spans="1:12" x14ac:dyDescent="0.25">
      <c r="A32" t="s">
        <v>66</v>
      </c>
      <c r="H32">
        <v>69891.899999999994</v>
      </c>
      <c r="J32" t="s">
        <v>50</v>
      </c>
      <c r="K32" t="s">
        <v>24</v>
      </c>
      <c r="L32">
        <v>75000</v>
      </c>
    </row>
    <row r="33" spans="1:12" x14ac:dyDescent="0.25">
      <c r="A33" t="s">
        <v>67</v>
      </c>
      <c r="H33">
        <v>22573</v>
      </c>
      <c r="J33" t="s">
        <v>50</v>
      </c>
      <c r="K33" t="s">
        <v>45</v>
      </c>
      <c r="L33">
        <v>75000</v>
      </c>
    </row>
    <row r="34" spans="1:12" x14ac:dyDescent="0.25">
      <c r="A34" t="s">
        <v>68</v>
      </c>
      <c r="H34">
        <v>33477.199999999997</v>
      </c>
      <c r="J34" t="s">
        <v>15</v>
      </c>
      <c r="K34" t="s">
        <v>54</v>
      </c>
      <c r="L34">
        <v>75000</v>
      </c>
    </row>
    <row r="35" spans="1:12" x14ac:dyDescent="0.25">
      <c r="A35" t="s">
        <v>69</v>
      </c>
      <c r="H35">
        <v>30555.3</v>
      </c>
      <c r="J35" t="s">
        <v>15</v>
      </c>
      <c r="K35" t="s">
        <v>22</v>
      </c>
      <c r="L35">
        <v>75000</v>
      </c>
    </row>
    <row r="36" spans="1:12" x14ac:dyDescent="0.25">
      <c r="A36" t="s">
        <v>70</v>
      </c>
      <c r="H36">
        <v>24513.200000000001</v>
      </c>
      <c r="J36" t="s">
        <v>15</v>
      </c>
      <c r="K36" t="s">
        <v>47</v>
      </c>
      <c r="L36">
        <v>75000</v>
      </c>
    </row>
    <row r="37" spans="1:12" x14ac:dyDescent="0.25">
      <c r="A37" t="s">
        <v>71</v>
      </c>
      <c r="H37">
        <v>13867.6</v>
      </c>
      <c r="J37" t="s">
        <v>15</v>
      </c>
      <c r="K37" t="s">
        <v>52</v>
      </c>
      <c r="L37">
        <v>75000</v>
      </c>
    </row>
    <row r="38" spans="1:12" x14ac:dyDescent="0.25">
      <c r="A38" t="s">
        <v>72</v>
      </c>
      <c r="H38">
        <v>60389.5</v>
      </c>
      <c r="J38" t="s">
        <v>18</v>
      </c>
      <c r="K38" t="s">
        <v>30</v>
      </c>
      <c r="L38">
        <v>100000</v>
      </c>
    </row>
    <row r="39" spans="1:12" x14ac:dyDescent="0.25">
      <c r="A39" t="s">
        <v>73</v>
      </c>
      <c r="H39">
        <v>50854.1</v>
      </c>
      <c r="J39" t="s">
        <v>15</v>
      </c>
      <c r="K39" t="s">
        <v>54</v>
      </c>
      <c r="L39">
        <v>100000</v>
      </c>
    </row>
    <row r="40" spans="1:12" x14ac:dyDescent="0.25">
      <c r="A40" t="s">
        <v>74</v>
      </c>
      <c r="H40">
        <v>42504.6</v>
      </c>
      <c r="J40" t="s">
        <v>18</v>
      </c>
      <c r="K40" t="s">
        <v>39</v>
      </c>
      <c r="L40">
        <v>100000</v>
      </c>
    </row>
    <row r="41" spans="1:12" x14ac:dyDescent="0.25">
      <c r="A41" t="s">
        <v>75</v>
      </c>
      <c r="H41">
        <v>68658.899999999994</v>
      </c>
      <c r="J41" t="s">
        <v>15</v>
      </c>
      <c r="K41" t="s">
        <v>16</v>
      </c>
      <c r="L41">
        <v>100000</v>
      </c>
    </row>
    <row r="42" spans="1:12" x14ac:dyDescent="0.25">
      <c r="A42" t="s">
        <v>76</v>
      </c>
      <c r="H42">
        <v>3708.1</v>
      </c>
      <c r="J42" t="s">
        <v>15</v>
      </c>
      <c r="K42" t="s">
        <v>19</v>
      </c>
      <c r="L42">
        <v>100000</v>
      </c>
    </row>
    <row r="43" spans="1:12" x14ac:dyDescent="0.25">
      <c r="A43" t="s">
        <v>77</v>
      </c>
      <c r="H43">
        <v>64542</v>
      </c>
      <c r="J43" t="s">
        <v>50</v>
      </c>
      <c r="K43" t="s">
        <v>16</v>
      </c>
      <c r="L43">
        <v>75000</v>
      </c>
    </row>
    <row r="44" spans="1:12" x14ac:dyDescent="0.25">
      <c r="A44" t="s">
        <v>78</v>
      </c>
      <c r="H44">
        <v>42074.2</v>
      </c>
      <c r="J44" t="s">
        <v>21</v>
      </c>
      <c r="K44" t="s">
        <v>60</v>
      </c>
      <c r="L44">
        <v>75000</v>
      </c>
    </row>
    <row r="45" spans="1:12" x14ac:dyDescent="0.25">
      <c r="A45" t="s">
        <v>79</v>
      </c>
      <c r="H45">
        <v>27394.2</v>
      </c>
      <c r="J45" t="s">
        <v>15</v>
      </c>
      <c r="K45" t="s">
        <v>37</v>
      </c>
      <c r="L45">
        <v>75000</v>
      </c>
    </row>
    <row r="46" spans="1:12" x14ac:dyDescent="0.25">
      <c r="A46" t="s">
        <v>80</v>
      </c>
      <c r="H46">
        <v>79420.600000000006</v>
      </c>
      <c r="J46" t="s">
        <v>21</v>
      </c>
      <c r="K46" t="s">
        <v>47</v>
      </c>
      <c r="L46">
        <v>75000</v>
      </c>
    </row>
    <row r="47" spans="1:12" x14ac:dyDescent="0.25">
      <c r="A47" t="s">
        <v>81</v>
      </c>
      <c r="H47">
        <v>77243.100000000006</v>
      </c>
      <c r="J47" t="s">
        <v>15</v>
      </c>
      <c r="K47" t="s">
        <v>24</v>
      </c>
      <c r="L47">
        <v>75000</v>
      </c>
    </row>
    <row r="48" spans="1:12" x14ac:dyDescent="0.25">
      <c r="A48" t="s">
        <v>82</v>
      </c>
      <c r="H48">
        <v>72527.199999999997</v>
      </c>
      <c r="J48" t="s">
        <v>18</v>
      </c>
      <c r="K48" t="s">
        <v>43</v>
      </c>
      <c r="L48">
        <v>75000</v>
      </c>
    </row>
    <row r="49" spans="1:12" x14ac:dyDescent="0.25">
      <c r="A49" t="s">
        <v>83</v>
      </c>
      <c r="H49">
        <v>52699.4</v>
      </c>
      <c r="J49" t="s">
        <v>59</v>
      </c>
      <c r="K49" t="s">
        <v>43</v>
      </c>
      <c r="L49">
        <v>75000</v>
      </c>
    </row>
    <row r="50" spans="1:12" x14ac:dyDescent="0.25">
      <c r="A50" t="s">
        <v>84</v>
      </c>
      <c r="H50">
        <v>29102.3</v>
      </c>
      <c r="J50" t="s">
        <v>15</v>
      </c>
      <c r="K50" t="s">
        <v>45</v>
      </c>
      <c r="L50">
        <v>100000</v>
      </c>
    </row>
    <row r="51" spans="1:12" x14ac:dyDescent="0.25">
      <c r="A51" t="s">
        <v>85</v>
      </c>
      <c r="H51">
        <v>22282</v>
      </c>
      <c r="J51" t="s">
        <v>50</v>
      </c>
      <c r="K51" t="s">
        <v>19</v>
      </c>
      <c r="L51">
        <v>100000</v>
      </c>
    </row>
    <row r="52" spans="1:12" x14ac:dyDescent="0.25">
      <c r="A52" t="s">
        <v>86</v>
      </c>
      <c r="H52">
        <v>20223.900000000001</v>
      </c>
      <c r="J52" t="s">
        <v>15</v>
      </c>
      <c r="K52" t="s">
        <v>33</v>
      </c>
      <c r="L52">
        <v>100000</v>
      </c>
    </row>
    <row r="53" spans="1:12" x14ac:dyDescent="0.25">
      <c r="A53" t="s">
        <v>87</v>
      </c>
      <c r="H53">
        <v>22188.5</v>
      </c>
      <c r="J53" t="s">
        <v>50</v>
      </c>
      <c r="K53" t="s">
        <v>27</v>
      </c>
      <c r="L53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6869-E267-4044-A6C6-5B5450CCC23F}">
  <dimension ref="A1:N53"/>
  <sheetViews>
    <sheetView tabSelected="1" topLeftCell="F1" workbookViewId="0">
      <selection activeCell="K6" sqref="K6"/>
    </sheetView>
  </sheetViews>
  <sheetFormatPr defaultRowHeight="15" x14ac:dyDescent="0.25"/>
  <cols>
    <col min="1" max="1" width="19.7109375" customWidth="1"/>
    <col min="2" max="2" width="15.42578125" customWidth="1"/>
    <col min="3" max="3" width="19" customWidth="1"/>
    <col min="6" max="6" width="19" customWidth="1"/>
    <col min="7" max="7" width="12.5703125" customWidth="1"/>
    <col min="8" max="8" width="13.85546875" customWidth="1"/>
    <col min="9" max="9" width="19.85546875" customWidth="1"/>
    <col min="11" max="11" width="17.42578125" customWidth="1"/>
    <col min="12" max="12" width="13.7109375" customWidth="1"/>
    <col min="13" max="13" width="12.85546875" customWidth="1"/>
    <col min="14" max="14" width="11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97</v>
      </c>
      <c r="F1" t="s">
        <v>94</v>
      </c>
      <c r="G1" t="s">
        <v>95</v>
      </c>
      <c r="H1" t="s">
        <v>7</v>
      </c>
      <c r="I1" t="s">
        <v>96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tr">
        <f>LEFT(Table1[[#This Row],[Car ID]],2)</f>
        <v>FD</v>
      </c>
      <c r="C2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2" t="str">
        <f>MID(Table1[[#This Row],[Car ID]],5,3)</f>
        <v>MTG</v>
      </c>
      <c r="E2" s="3">
        <v>6</v>
      </c>
      <c r="F2" s="4">
        <v>2006</v>
      </c>
      <c r="G2">
        <v>20</v>
      </c>
      <c r="H2" s="1">
        <v>40326.800000000003</v>
      </c>
      <c r="I2" s="1">
        <f>Table1[[#This Row],[Miles]]/Table1[[#This Row],[Age of car]]</f>
        <v>2016.3400000000001</v>
      </c>
      <c r="J2" t="s">
        <v>15</v>
      </c>
      <c r="K2" t="s">
        <v>16</v>
      </c>
      <c r="L2" s="2">
        <v>50000</v>
      </c>
      <c r="M2" t="str">
        <f>IF(Table1[[#This Row],[Warantee Miles]]&gt;Table1[[#This Row],[Miles]],"Not yet","Yes")</f>
        <v>Not yet</v>
      </c>
      <c r="N2" t="str">
        <f>IF(Table1[[#This Row],[Covered?]]="Yes","New tyre","No")</f>
        <v>No</v>
      </c>
    </row>
    <row r="3" spans="1:14" x14ac:dyDescent="0.25">
      <c r="A3" t="s">
        <v>17</v>
      </c>
      <c r="B3" t="str">
        <f>LEFT(Table1[[#This Row],[Car ID]],2)</f>
        <v>FD</v>
      </c>
      <c r="C3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3" t="str">
        <f>MID(Table1[[#This Row],[Car ID]],5,3)</f>
        <v>MTG</v>
      </c>
      <c r="E3" s="3">
        <v>6</v>
      </c>
      <c r="F3" s="4">
        <v>2006</v>
      </c>
      <c r="G3">
        <v>20</v>
      </c>
      <c r="H3" s="1">
        <v>44974.8</v>
      </c>
      <c r="I3" s="1">
        <f>Table1[[#This Row],[Miles]]/Table1[[#This Row],[Age of car]]</f>
        <v>2248.7400000000002</v>
      </c>
      <c r="J3" t="s">
        <v>18</v>
      </c>
      <c r="K3" t="s">
        <v>19</v>
      </c>
      <c r="L3" s="2">
        <v>50000</v>
      </c>
      <c r="M3" t="str">
        <f>IF(Table1[[#This Row],[Warantee Miles]]&gt;Table1[[#This Row],[Miles]],"Not yet","Yes")</f>
        <v>Not yet</v>
      </c>
      <c r="N3" t="str">
        <f>IF(Table1[[#This Row],[Covered?]]="Yes","New tyre","No")</f>
        <v>No</v>
      </c>
    </row>
    <row r="4" spans="1:14" x14ac:dyDescent="0.25">
      <c r="A4" t="s">
        <v>20</v>
      </c>
      <c r="B4" t="str">
        <f>LEFT(Table1[[#This Row],[Car ID]],2)</f>
        <v>FD</v>
      </c>
      <c r="C4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4" t="str">
        <f>MID(Table1[[#This Row],[Car ID]],5,3)</f>
        <v>MTG</v>
      </c>
      <c r="E4" s="3">
        <v>8</v>
      </c>
      <c r="F4" s="4">
        <v>2008</v>
      </c>
      <c r="G4">
        <v>18</v>
      </c>
      <c r="H4" s="1">
        <v>44946.5</v>
      </c>
      <c r="I4" s="1">
        <f>Table1[[#This Row],[Miles]]/Table1[[#This Row],[Age of car]]</f>
        <v>2497.0277777777778</v>
      </c>
      <c r="J4" t="s">
        <v>21</v>
      </c>
      <c r="K4" t="s">
        <v>22</v>
      </c>
      <c r="L4" s="2">
        <v>50000</v>
      </c>
      <c r="M4" t="str">
        <f>IF(Table1[[#This Row],[Warantee Miles]]&gt;Table1[[#This Row],[Miles]],"Not yet","Yes")</f>
        <v>Not yet</v>
      </c>
      <c r="N4" t="str">
        <f>IF(Table1[[#This Row],[Covered?]]="Yes","New tyre","No")</f>
        <v>No</v>
      </c>
    </row>
    <row r="5" spans="1:14" x14ac:dyDescent="0.25">
      <c r="A5" t="s">
        <v>23</v>
      </c>
      <c r="B5" t="str">
        <f>LEFT(Table1[[#This Row],[Car ID]],2)</f>
        <v>FD</v>
      </c>
      <c r="C5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5" t="str">
        <f>MID(Table1[[#This Row],[Car ID]],5,3)</f>
        <v>MTG</v>
      </c>
      <c r="E5" s="3">
        <v>8</v>
      </c>
      <c r="F5" s="4">
        <v>2008</v>
      </c>
      <c r="G5">
        <v>18</v>
      </c>
      <c r="H5" s="1">
        <v>37558.800000000003</v>
      </c>
      <c r="I5" s="1">
        <f>Table1[[#This Row],[Miles]]/Table1[[#This Row],[Age of car]]</f>
        <v>2086.6000000000004</v>
      </c>
      <c r="J5" t="s">
        <v>15</v>
      </c>
      <c r="K5" t="s">
        <v>24</v>
      </c>
      <c r="L5" s="2">
        <v>50000</v>
      </c>
      <c r="M5" t="str">
        <f>IF(Table1[[#This Row],[Warantee Miles]]&gt;Table1[[#This Row],[Miles]],"Not yet","Yes")</f>
        <v>Not yet</v>
      </c>
      <c r="N5" t="str">
        <f>IF(Table1[[#This Row],[Covered?]]="Yes","New tyre","No")</f>
        <v>No</v>
      </c>
    </row>
    <row r="6" spans="1:14" x14ac:dyDescent="0.25">
      <c r="A6" t="s">
        <v>25</v>
      </c>
      <c r="B6" t="str">
        <f>LEFT(Table1[[#This Row],[Car ID]],2)</f>
        <v>FD</v>
      </c>
      <c r="C6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6" t="str">
        <f>MID(Table1[[#This Row],[Car ID]],5,3)</f>
        <v>MTG</v>
      </c>
      <c r="E6" s="3">
        <v>8</v>
      </c>
      <c r="F6" s="4">
        <v>2008</v>
      </c>
      <c r="G6">
        <v>18</v>
      </c>
      <c r="H6" s="1">
        <v>36438.5</v>
      </c>
      <c r="I6" s="1">
        <f>Table1[[#This Row],[Miles]]/Table1[[#This Row],[Age of car]]</f>
        <v>2024.3611111111111</v>
      </c>
      <c r="J6" t="s">
        <v>18</v>
      </c>
      <c r="K6" t="s">
        <v>16</v>
      </c>
      <c r="L6" s="2">
        <v>50000</v>
      </c>
      <c r="M6" t="str">
        <f>IF(Table1[[#This Row],[Warantee Miles]]&gt;Table1[[#This Row],[Miles]],"Not yet","Yes")</f>
        <v>Not yet</v>
      </c>
      <c r="N6" t="str">
        <f>IF(Table1[[#This Row],[Covered?]]="Yes","New tyre","No")</f>
        <v>No</v>
      </c>
    </row>
    <row r="7" spans="1:14" x14ac:dyDescent="0.25">
      <c r="A7" t="s">
        <v>88</v>
      </c>
      <c r="B7" t="str">
        <f>LEFT(Table1[[#This Row],[Car ID]],2)</f>
        <v>FD</v>
      </c>
      <c r="C7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7" t="str">
        <f>MID(Table1[[#This Row],[Car ID]],5,3)</f>
        <v>FCS</v>
      </c>
      <c r="E7" s="3">
        <v>6</v>
      </c>
      <c r="F7" s="4">
        <v>2006</v>
      </c>
      <c r="G7">
        <v>20</v>
      </c>
      <c r="H7" s="1">
        <v>46311.4</v>
      </c>
      <c r="I7" s="1">
        <f>Table1[[#This Row],[Miles]]/Table1[[#This Row],[Age of car]]</f>
        <v>2315.5700000000002</v>
      </c>
      <c r="J7" t="s">
        <v>21</v>
      </c>
      <c r="K7" t="s">
        <v>27</v>
      </c>
      <c r="L7" s="2">
        <v>75000</v>
      </c>
      <c r="M7" t="str">
        <f>IF(Table1[[#This Row],[Warantee Miles]]&gt;Table1[[#This Row],[Miles]],"Not yet","Yes")</f>
        <v>Not yet</v>
      </c>
      <c r="N7" t="str">
        <f>IF(Table1[[#This Row],[Covered?]]="Yes","New tyre","No")</f>
        <v>No</v>
      </c>
    </row>
    <row r="8" spans="1:14" x14ac:dyDescent="0.25">
      <c r="A8" t="s">
        <v>28</v>
      </c>
      <c r="B8" t="str">
        <f>LEFT(Table1[[#This Row],[Car ID]],2)</f>
        <v>FD</v>
      </c>
      <c r="C8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8" t="str">
        <f>MID(Table1[[#This Row],[Car ID]],5,3)</f>
        <v>FCS</v>
      </c>
      <c r="E8" s="3">
        <v>6</v>
      </c>
      <c r="F8" s="4">
        <v>2006</v>
      </c>
      <c r="G8">
        <v>20</v>
      </c>
      <c r="H8" s="1">
        <v>52229.5</v>
      </c>
      <c r="I8" s="1">
        <f>Table1[[#This Row],[Miles]]/Table1[[#This Row],[Age of car]]</f>
        <v>2611.4749999999999</v>
      </c>
      <c r="J8" t="s">
        <v>21</v>
      </c>
      <c r="K8" t="s">
        <v>22</v>
      </c>
      <c r="L8" s="2">
        <v>75000</v>
      </c>
      <c r="M8" t="str">
        <f>IF(Table1[[#This Row],[Warantee Miles]]&gt;Table1[[#This Row],[Miles]],"Not yet","Yes")</f>
        <v>Not yet</v>
      </c>
      <c r="N8" t="str">
        <f>IF(Table1[[#This Row],[Covered?]]="Yes","New tyre","No")</f>
        <v>No</v>
      </c>
    </row>
    <row r="9" spans="1:14" x14ac:dyDescent="0.25">
      <c r="A9" t="s">
        <v>29</v>
      </c>
      <c r="B9" t="str">
        <f>LEFT(Table1[[#This Row],[Car ID]],2)</f>
        <v>FD</v>
      </c>
      <c r="C9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9" t="str">
        <f>MID(Table1[[#This Row],[Car ID]],5,3)</f>
        <v>FCS</v>
      </c>
      <c r="E9" s="3">
        <v>9</v>
      </c>
      <c r="F9" s="4">
        <v>2009</v>
      </c>
      <c r="G9">
        <v>17</v>
      </c>
      <c r="H9" s="1">
        <v>35137</v>
      </c>
      <c r="I9" s="1">
        <f>Table1[[#This Row],[Miles]]/Table1[[#This Row],[Age of car]]</f>
        <v>2066.8823529411766</v>
      </c>
      <c r="J9" t="s">
        <v>15</v>
      </c>
      <c r="K9" t="s">
        <v>30</v>
      </c>
      <c r="L9" s="2">
        <v>75000</v>
      </c>
      <c r="M9" t="str">
        <f>IF(Table1[[#This Row],[Warantee Miles]]&gt;Table1[[#This Row],[Miles]],"Not yet","Yes")</f>
        <v>Not yet</v>
      </c>
      <c r="N9" t="str">
        <f>IF(Table1[[#This Row],[Covered?]]="Yes","New tyre","No")</f>
        <v>No</v>
      </c>
    </row>
    <row r="10" spans="1:14" x14ac:dyDescent="0.25">
      <c r="A10" t="s">
        <v>31</v>
      </c>
      <c r="B10" t="str">
        <f>LEFT(Table1[[#This Row],[Car ID]],2)</f>
        <v>FD</v>
      </c>
      <c r="C10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10" t="str">
        <f>MID(Table1[[#This Row],[Car ID]],5,3)</f>
        <v>FCS</v>
      </c>
      <c r="E10" s="3">
        <v>13</v>
      </c>
      <c r="F10" s="4">
        <v>2013</v>
      </c>
      <c r="G10">
        <v>13</v>
      </c>
      <c r="H10" s="1">
        <v>27637.1</v>
      </c>
      <c r="I10" s="1">
        <f>Table1[[#This Row],[Miles]]/Table1[[#This Row],[Age of car]]</f>
        <v>2125.9307692307693</v>
      </c>
      <c r="J10" t="s">
        <v>15</v>
      </c>
      <c r="K10" t="s">
        <v>16</v>
      </c>
      <c r="L10" s="2">
        <v>75000</v>
      </c>
      <c r="M10" t="str">
        <f>IF(Table1[[#This Row],[Warantee Miles]]&gt;Table1[[#This Row],[Miles]],"Not yet","Yes")</f>
        <v>Not yet</v>
      </c>
      <c r="N10" t="str">
        <f>IF(Table1[[#This Row],[Covered?]]="Yes","New tyre","No")</f>
        <v>No</v>
      </c>
    </row>
    <row r="11" spans="1:14" x14ac:dyDescent="0.25">
      <c r="A11" t="s">
        <v>32</v>
      </c>
      <c r="B11" t="str">
        <f>LEFT(Table1[[#This Row],[Car ID]],2)</f>
        <v>FD</v>
      </c>
      <c r="C11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11" t="str">
        <f>MID(Table1[[#This Row],[Car ID]],5,3)</f>
        <v>FCS</v>
      </c>
      <c r="E11" s="3">
        <v>13</v>
      </c>
      <c r="F11" s="4">
        <v>2013</v>
      </c>
      <c r="G11">
        <v>13</v>
      </c>
      <c r="H11" s="1">
        <v>27534.799999999999</v>
      </c>
      <c r="I11" s="1">
        <f>Table1[[#This Row],[Miles]]/Table1[[#This Row],[Age of car]]</f>
        <v>2118.0615384615385</v>
      </c>
      <c r="J11" t="s">
        <v>18</v>
      </c>
      <c r="K11" t="s">
        <v>33</v>
      </c>
      <c r="L11" s="2">
        <v>75000</v>
      </c>
      <c r="M11" t="str">
        <f>IF(Table1[[#This Row],[Warantee Miles]]&gt;Table1[[#This Row],[Miles]],"Not yet","Yes")</f>
        <v>Not yet</v>
      </c>
      <c r="N11" t="str">
        <f>IF(Table1[[#This Row],[Covered?]]="Yes","New tyre","No")</f>
        <v>No</v>
      </c>
    </row>
    <row r="12" spans="1:14" x14ac:dyDescent="0.25">
      <c r="A12" t="s">
        <v>34</v>
      </c>
      <c r="B12" t="str">
        <f>LEFT(Table1[[#This Row],[Car ID]],2)</f>
        <v>FD</v>
      </c>
      <c r="C12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12" t="str">
        <f>MID(Table1[[#This Row],[Car ID]],5,3)</f>
        <v>FCS</v>
      </c>
      <c r="E12" s="3">
        <v>12</v>
      </c>
      <c r="F12" s="4">
        <v>2012</v>
      </c>
      <c r="G12">
        <v>14</v>
      </c>
      <c r="H12" s="1">
        <v>19341.7</v>
      </c>
      <c r="I12" s="1">
        <f>Table1[[#This Row],[Miles]]/Table1[[#This Row],[Age of car]]</f>
        <v>1381.55</v>
      </c>
      <c r="J12" t="s">
        <v>18</v>
      </c>
      <c r="K12" t="s">
        <v>35</v>
      </c>
      <c r="L12" s="2">
        <v>75000</v>
      </c>
      <c r="M12" t="str">
        <f>IF(Table1[[#This Row],[Warantee Miles]]&gt;Table1[[#This Row],[Miles]],"Not yet","Yes")</f>
        <v>Not yet</v>
      </c>
      <c r="N12" t="str">
        <f>IF(Table1[[#This Row],[Covered?]]="Yes","New tyre","No")</f>
        <v>No</v>
      </c>
    </row>
    <row r="13" spans="1:14" x14ac:dyDescent="0.25">
      <c r="A13" t="s">
        <v>36</v>
      </c>
      <c r="B13" t="str">
        <f>LEFT(Table1[[#This Row],[Car ID]],2)</f>
        <v>FD</v>
      </c>
      <c r="C13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13" t="str">
        <f>MID(Table1[[#This Row],[Car ID]],5,3)</f>
        <v>FCS</v>
      </c>
      <c r="E13" s="3">
        <v>13</v>
      </c>
      <c r="F13" s="4">
        <v>2013</v>
      </c>
      <c r="G13">
        <v>13</v>
      </c>
      <c r="H13" s="1">
        <v>22521.599999999999</v>
      </c>
      <c r="I13" s="1">
        <f>Table1[[#This Row],[Miles]]/Table1[[#This Row],[Age of car]]</f>
        <v>1732.4307692307691</v>
      </c>
      <c r="J13" t="s">
        <v>15</v>
      </c>
      <c r="K13" t="s">
        <v>37</v>
      </c>
      <c r="L13" s="2">
        <v>75000</v>
      </c>
      <c r="M13" t="str">
        <f>IF(Table1[[#This Row],[Warantee Miles]]&gt;Table1[[#This Row],[Miles]],"Not yet","Yes")</f>
        <v>Not yet</v>
      </c>
      <c r="N13" t="str">
        <f>IF(Table1[[#This Row],[Covered?]]="Yes","New tyre","No")</f>
        <v>No</v>
      </c>
    </row>
    <row r="14" spans="1:14" x14ac:dyDescent="0.25">
      <c r="A14" t="s">
        <v>38</v>
      </c>
      <c r="B14" t="str">
        <f>LEFT(Table1[[#This Row],[Car ID]],2)</f>
        <v>FD</v>
      </c>
      <c r="C14" t="str">
        <f>IF(Table1[[#This Row],[Make]]="FD","Ford",IF(Table1[[#This Row],[Make]]="TY","Toyota",IF(Table1[[#This Row],[Make]]="HO","Honda",IF(Table1[[#This Row],[Make]]="CR","Crysler",IF(Table1[[#This Row],[Make]]="HY","Hyundai","Nill")))))</f>
        <v>Ford</v>
      </c>
      <c r="D14" t="str">
        <f>MID(Table1[[#This Row],[Car ID]],5,3)</f>
        <v>FCS</v>
      </c>
      <c r="E14" s="3">
        <v>13</v>
      </c>
      <c r="F14" s="4">
        <v>2013</v>
      </c>
      <c r="G14">
        <v>13</v>
      </c>
      <c r="H14" s="1">
        <v>13682.9</v>
      </c>
      <c r="I14" s="1">
        <f>Table1[[#This Row],[Miles]]/Table1[[#This Row],[Age of car]]</f>
        <v>1052.5307692307692</v>
      </c>
      <c r="J14" t="s">
        <v>15</v>
      </c>
      <c r="K14" t="s">
        <v>39</v>
      </c>
      <c r="L14" s="2">
        <v>75000</v>
      </c>
      <c r="M14" t="str">
        <f>IF(Table1[[#This Row],[Warantee Miles]]&gt;Table1[[#This Row],[Miles]],"Not yet","Yes")</f>
        <v>Not yet</v>
      </c>
      <c r="N14" t="str">
        <f>IF(Table1[[#This Row],[Covered?]]="Yes","New tyre","No")</f>
        <v>No</v>
      </c>
    </row>
    <row r="15" spans="1:14" x14ac:dyDescent="0.25">
      <c r="A15" t="s">
        <v>89</v>
      </c>
      <c r="B15" t="str">
        <f>LEFT(Table1[[#This Row],[Car ID]],2)</f>
        <v>GM</v>
      </c>
      <c r="C15" t="str">
        <f>IF(Table1[[#This Row],[Make]]="FD","Ford",IF(Table1[[#This Row],[Make]]="TY","Toyota",IF(Table1[[#This Row],[Make]]="HO","Honda",IF(Table1[[#This Row],[Make]]="CR","Crysler",IF(Table1[[#This Row],[Make]]="HY","Hyundai","Nill")))))</f>
        <v>Nill</v>
      </c>
      <c r="D15" t="str">
        <f>MID(Table1[[#This Row],[Car ID]],5,3)</f>
        <v>CMR</v>
      </c>
      <c r="E15" s="3">
        <v>9</v>
      </c>
      <c r="F15" s="4">
        <v>2009</v>
      </c>
      <c r="G15">
        <v>17</v>
      </c>
      <c r="H15" s="1">
        <v>28464.799999999999</v>
      </c>
      <c r="I15" s="1">
        <f>Table1[[#This Row],[Miles]]/Table1[[#This Row],[Age of car]]</f>
        <v>1674.3999999999999</v>
      </c>
      <c r="J15" t="s">
        <v>18</v>
      </c>
      <c r="K15" t="s">
        <v>41</v>
      </c>
      <c r="L15" s="2">
        <v>100000</v>
      </c>
      <c r="M15" t="str">
        <f>IF(Table1[[#This Row],[Warantee Miles]]&gt;Table1[[#This Row],[Miles]],"Not yet","Yes")</f>
        <v>Not yet</v>
      </c>
      <c r="N15" t="str">
        <f>IF(Table1[[#This Row],[Covered?]]="Yes","New tyre","No")</f>
        <v>No</v>
      </c>
    </row>
    <row r="16" spans="1:14" x14ac:dyDescent="0.25">
      <c r="A16" t="s">
        <v>42</v>
      </c>
      <c r="B16" t="str">
        <f>LEFT(Table1[[#This Row],[Car ID]],2)</f>
        <v>GM</v>
      </c>
      <c r="C16" t="str">
        <f>IF(Table1[[#This Row],[Make]]="FD","Ford",IF(Table1[[#This Row],[Make]]="TY","Toyota",IF(Table1[[#This Row],[Make]]="HO","Honda",IF(Table1[[#This Row],[Make]]="CR","Crysler",IF(Table1[[#This Row],[Make]]="HY","Hyundai","Nill")))))</f>
        <v>Nill</v>
      </c>
      <c r="D16" t="str">
        <f>MID(Table1[[#This Row],[Car ID]],5,3)</f>
        <v>CMR</v>
      </c>
      <c r="E16" s="3">
        <v>12</v>
      </c>
      <c r="F16" s="4">
        <v>2012</v>
      </c>
      <c r="G16">
        <v>14</v>
      </c>
      <c r="H16" s="1">
        <v>19421.099999999999</v>
      </c>
      <c r="I16" s="1">
        <f>Table1[[#This Row],[Miles]]/Table1[[#This Row],[Age of car]]</f>
        <v>1387.2214285714285</v>
      </c>
      <c r="J16" t="s">
        <v>15</v>
      </c>
      <c r="K16" t="s">
        <v>43</v>
      </c>
      <c r="L16" s="2">
        <v>100000</v>
      </c>
      <c r="M16" t="str">
        <f>IF(Table1[[#This Row],[Warantee Miles]]&gt;Table1[[#This Row],[Miles]],"Not yet","Yes")</f>
        <v>Not yet</v>
      </c>
      <c r="N16" t="str">
        <f>IF(Table1[[#This Row],[Covered?]]="Yes","New tyre","No")</f>
        <v>No</v>
      </c>
    </row>
    <row r="17" spans="1:14" x14ac:dyDescent="0.25">
      <c r="A17" t="s">
        <v>44</v>
      </c>
      <c r="B17" t="str">
        <f>LEFT(Table1[[#This Row],[Car ID]],2)</f>
        <v>GM</v>
      </c>
      <c r="C17" t="str">
        <f>IF(Table1[[#This Row],[Make]]="FD","Ford",IF(Table1[[#This Row],[Make]]="TY","Toyota",IF(Table1[[#This Row],[Make]]="HO","Honda",IF(Table1[[#This Row],[Make]]="CR","Crysler",IF(Table1[[#This Row],[Make]]="HY","Hyundai","Nill")))))</f>
        <v>Nill</v>
      </c>
      <c r="D17" t="str">
        <f>MID(Table1[[#This Row],[Car ID]],5,3)</f>
        <v>CMR</v>
      </c>
      <c r="E17" s="3">
        <v>14</v>
      </c>
      <c r="F17" s="4">
        <v>2014</v>
      </c>
      <c r="G17">
        <v>12</v>
      </c>
      <c r="H17" s="1">
        <v>14289.6</v>
      </c>
      <c r="I17" s="1">
        <f>Table1[[#This Row],[Miles]]/Table1[[#This Row],[Age of car]]</f>
        <v>1190.8</v>
      </c>
      <c r="J17" t="s">
        <v>18</v>
      </c>
      <c r="K17" t="s">
        <v>45</v>
      </c>
      <c r="L17" s="2">
        <v>100000</v>
      </c>
      <c r="M17" t="str">
        <f>IF(Table1[[#This Row],[Warantee Miles]]&gt;Table1[[#This Row],[Miles]],"Not yet","Yes")</f>
        <v>Not yet</v>
      </c>
      <c r="N17" t="str">
        <f>IF(Table1[[#This Row],[Covered?]]="Yes","New tyre","No")</f>
        <v>No</v>
      </c>
    </row>
    <row r="18" spans="1:14" x14ac:dyDescent="0.25">
      <c r="A18" t="s">
        <v>46</v>
      </c>
      <c r="B18" t="str">
        <f>LEFT(Table1[[#This Row],[Car ID]],2)</f>
        <v>GM</v>
      </c>
      <c r="C18" t="str">
        <f>IF(Table1[[#This Row],[Make]]="FD","Ford",IF(Table1[[#This Row],[Make]]="TY","Toyota",IF(Table1[[#This Row],[Make]]="HO","Honda",IF(Table1[[#This Row],[Make]]="CR","Crysler",IF(Table1[[#This Row],[Make]]="HY","Hyundai","Nill")))))</f>
        <v>Nill</v>
      </c>
      <c r="D18" t="str">
        <f>MID(Table1[[#This Row],[Car ID]],5,3)</f>
        <v>SLV</v>
      </c>
      <c r="E18" s="3">
        <v>10</v>
      </c>
      <c r="F18" s="4">
        <v>2010</v>
      </c>
      <c r="G18">
        <v>16</v>
      </c>
      <c r="H18" s="1">
        <v>31144.400000000001</v>
      </c>
      <c r="I18" s="1">
        <f>Table1[[#This Row],[Miles]]/Table1[[#This Row],[Age of car]]</f>
        <v>1946.5250000000001</v>
      </c>
      <c r="J18" t="s">
        <v>15</v>
      </c>
      <c r="K18" t="s">
        <v>47</v>
      </c>
      <c r="L18" s="2">
        <v>100000</v>
      </c>
      <c r="M18" t="str">
        <f>IF(Table1[[#This Row],[Warantee Miles]]&gt;Table1[[#This Row],[Miles]],"Not yet","Yes")</f>
        <v>Not yet</v>
      </c>
      <c r="N18" t="str">
        <f>IF(Table1[[#This Row],[Covered?]]="Yes","New tyre","No")</f>
        <v>No</v>
      </c>
    </row>
    <row r="19" spans="1:14" x14ac:dyDescent="0.25">
      <c r="A19" t="s">
        <v>48</v>
      </c>
      <c r="B19" t="str">
        <f>LEFT(Table1[[#This Row],[Car ID]],2)</f>
        <v>GM</v>
      </c>
      <c r="C19" t="str">
        <f>IF(Table1[[#This Row],[Make]]="FD","Ford",IF(Table1[[#This Row],[Make]]="TY","Toyota",IF(Table1[[#This Row],[Make]]="HO","Honda",IF(Table1[[#This Row],[Make]]="CR","Crysler",IF(Table1[[#This Row],[Make]]="HY","Hyundai","Nill")))))</f>
        <v>Nill</v>
      </c>
      <c r="D19" t="str">
        <f>MID(Table1[[#This Row],[Car ID]],5,3)</f>
        <v>SLV</v>
      </c>
      <c r="E19" s="3">
        <v>98</v>
      </c>
      <c r="F19" s="4">
        <v>1998</v>
      </c>
      <c r="G19" s="4">
        <v>28</v>
      </c>
      <c r="H19" s="1">
        <v>83162.7</v>
      </c>
      <c r="I19" s="1">
        <f>Table1[[#This Row],[Miles]]/Table1[[#This Row],[Age of car]]</f>
        <v>2970.0964285714285</v>
      </c>
      <c r="J19" t="s">
        <v>15</v>
      </c>
      <c r="K19" t="s">
        <v>41</v>
      </c>
      <c r="L19" s="2">
        <v>100000</v>
      </c>
      <c r="M19" t="str">
        <f>IF(Table1[[#This Row],[Warantee Miles]]&gt;Table1[[#This Row],[Miles]],"Not yet","Yes")</f>
        <v>Not yet</v>
      </c>
      <c r="N19" t="str">
        <f>IF(Table1[[#This Row],[Covered?]]="Yes","New tyre","No")</f>
        <v>No</v>
      </c>
    </row>
    <row r="20" spans="1:14" x14ac:dyDescent="0.25">
      <c r="A20" t="s">
        <v>93</v>
      </c>
      <c r="B20" t="str">
        <f>LEFT(Table1[[#This Row],[Car ID]],2)</f>
        <v>GM</v>
      </c>
      <c r="C20" t="str">
        <f>IF(Table1[[#This Row],[Make]]="FD","Ford",IF(Table1[[#This Row],[Make]]="TY","Toyota",IF(Table1[[#This Row],[Make]]="HO","Honda",IF(Table1[[#This Row],[Make]]="CR","Crysler",IF(Table1[[#This Row],[Make]]="HY","Hyundai","Nill")))))</f>
        <v>Nill</v>
      </c>
      <c r="D20" t="str">
        <f>MID(Table1[[#This Row],[Car ID]],5,3)</f>
        <v>SLV</v>
      </c>
      <c r="E20" s="3">
        <v>1</v>
      </c>
      <c r="F20" s="4">
        <v>2001</v>
      </c>
      <c r="G20">
        <v>25</v>
      </c>
      <c r="H20" s="1">
        <v>80685.8</v>
      </c>
      <c r="I20" s="1">
        <f>Table1[[#This Row],[Miles]]/Table1[[#This Row],[Age of car]]</f>
        <v>3227.4320000000002</v>
      </c>
      <c r="J20" t="s">
        <v>50</v>
      </c>
      <c r="K20" t="s">
        <v>37</v>
      </c>
      <c r="L20" s="2">
        <v>100000</v>
      </c>
      <c r="M20" t="str">
        <f>IF(Table1[[#This Row],[Warantee Miles]]&gt;Table1[[#This Row],[Miles]],"Not yet","Yes")</f>
        <v>Not yet</v>
      </c>
      <c r="N20" t="str">
        <f>IF(Table1[[#This Row],[Covered?]]="Yes","New tyre","No")</f>
        <v>No</v>
      </c>
    </row>
    <row r="21" spans="1:14" x14ac:dyDescent="0.25">
      <c r="A21" t="s">
        <v>51</v>
      </c>
      <c r="B21" t="str">
        <f>LEFT(Table1[[#This Row],[Car ID]],2)</f>
        <v>TY</v>
      </c>
      <c r="C21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1" t="str">
        <f>MID(Table1[[#This Row],[Car ID]],5,3)</f>
        <v>CAM</v>
      </c>
      <c r="E21" s="3">
        <v>96</v>
      </c>
      <c r="F21" s="4">
        <v>1996</v>
      </c>
      <c r="G21">
        <v>30</v>
      </c>
      <c r="H21" s="1">
        <v>114660.6</v>
      </c>
      <c r="I21" s="1">
        <f>Table1[[#This Row],[Miles]]/Table1[[#This Row],[Age of car]]</f>
        <v>3822.02</v>
      </c>
      <c r="J21" t="s">
        <v>21</v>
      </c>
      <c r="K21" t="s">
        <v>52</v>
      </c>
      <c r="L21" s="2">
        <v>100000</v>
      </c>
      <c r="M21" t="str">
        <f>IF(Table1[[#This Row],[Warantee Miles]]&gt;Table1[[#This Row],[Miles]],"Not yet","Yes")</f>
        <v>Yes</v>
      </c>
      <c r="N21" t="str">
        <f>IF(Table1[[#This Row],[Covered?]]="Yes","New tyre","No")</f>
        <v>New tyre</v>
      </c>
    </row>
    <row r="22" spans="1:14" x14ac:dyDescent="0.25">
      <c r="A22" t="s">
        <v>53</v>
      </c>
      <c r="B22" t="str">
        <f>LEFT(Table1[[#This Row],[Car ID]],2)</f>
        <v>TY</v>
      </c>
      <c r="C22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2" t="str">
        <f>MID(Table1[[#This Row],[Car ID]],5,3)</f>
        <v>CAM</v>
      </c>
      <c r="E22" s="3">
        <v>98</v>
      </c>
      <c r="F22" s="4">
        <v>1998</v>
      </c>
      <c r="G22">
        <v>28</v>
      </c>
      <c r="H22" s="1">
        <v>93382.6</v>
      </c>
      <c r="I22" s="1">
        <f>Table1[[#This Row],[Miles]]/Table1[[#This Row],[Age of car]]</f>
        <v>3335.0928571428572</v>
      </c>
      <c r="J22" t="s">
        <v>15</v>
      </c>
      <c r="K22" t="s">
        <v>54</v>
      </c>
      <c r="L22" s="2">
        <v>100000</v>
      </c>
      <c r="M22" t="str">
        <f>IF(Table1[[#This Row],[Warantee Miles]]&gt;Table1[[#This Row],[Miles]],"Not yet","Yes")</f>
        <v>Not yet</v>
      </c>
      <c r="N22" t="str">
        <f>IF(Table1[[#This Row],[Covered?]]="Yes","New tyre","No")</f>
        <v>No</v>
      </c>
    </row>
    <row r="23" spans="1:14" x14ac:dyDescent="0.25">
      <c r="A23" t="s">
        <v>92</v>
      </c>
      <c r="B23" t="str">
        <f>LEFT(Table1[[#This Row],[Car ID]],2)</f>
        <v>TY</v>
      </c>
      <c r="C23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3" t="str">
        <f>MID(Table1[[#This Row],[Car ID]],5,3)</f>
        <v>CAM</v>
      </c>
      <c r="E23" s="3">
        <v>1</v>
      </c>
      <c r="F23" s="4">
        <v>2001</v>
      </c>
      <c r="G23">
        <v>25</v>
      </c>
      <c r="H23" s="1">
        <v>85928</v>
      </c>
      <c r="I23" s="1">
        <f>Table1[[#This Row],[Miles]]/Table1[[#This Row],[Age of car]]</f>
        <v>3437.12</v>
      </c>
      <c r="J23" t="s">
        <v>21</v>
      </c>
      <c r="K23" t="s">
        <v>27</v>
      </c>
      <c r="L23" s="2">
        <v>100000</v>
      </c>
      <c r="M23" t="str">
        <f>IF(Table1[[#This Row],[Warantee Miles]]&gt;Table1[[#This Row],[Miles]],"Not yet","Yes")</f>
        <v>Not yet</v>
      </c>
      <c r="N23" t="str">
        <f>IF(Table1[[#This Row],[Covered?]]="Yes","New tyre","No")</f>
        <v>No</v>
      </c>
    </row>
    <row r="24" spans="1:14" x14ac:dyDescent="0.25">
      <c r="A24" t="s">
        <v>56</v>
      </c>
      <c r="B24" t="str">
        <f>LEFT(Table1[[#This Row],[Car ID]],2)</f>
        <v>TY</v>
      </c>
      <c r="C24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4" t="str">
        <f>MID(Table1[[#This Row],[Car ID]],5,3)</f>
        <v>CAM</v>
      </c>
      <c r="E24" s="3">
        <v>2</v>
      </c>
      <c r="F24" s="4">
        <v>2002</v>
      </c>
      <c r="G24">
        <v>24</v>
      </c>
      <c r="H24" s="1">
        <v>67829.100000000006</v>
      </c>
      <c r="I24" s="1">
        <f>Table1[[#This Row],[Miles]]/Table1[[#This Row],[Age of car]]</f>
        <v>2826.2125000000001</v>
      </c>
      <c r="J24" t="s">
        <v>15</v>
      </c>
      <c r="K24" t="s">
        <v>16</v>
      </c>
      <c r="L24" s="2">
        <v>100000</v>
      </c>
      <c r="M24" t="str">
        <f>IF(Table1[[#This Row],[Warantee Miles]]&gt;Table1[[#This Row],[Miles]],"Not yet","Yes")</f>
        <v>Not yet</v>
      </c>
      <c r="N24" t="str">
        <f>IF(Table1[[#This Row],[Covered?]]="Yes","New tyre","No")</f>
        <v>No</v>
      </c>
    </row>
    <row r="25" spans="1:14" x14ac:dyDescent="0.25">
      <c r="A25" t="s">
        <v>57</v>
      </c>
      <c r="B25" t="str">
        <f>LEFT(Table1[[#This Row],[Car ID]],2)</f>
        <v>TY</v>
      </c>
      <c r="C25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5" t="str">
        <f>MID(Table1[[#This Row],[Car ID]],5,3)</f>
        <v>CAM</v>
      </c>
      <c r="E25" s="3">
        <v>9</v>
      </c>
      <c r="F25" s="4">
        <v>2009</v>
      </c>
      <c r="G25">
        <v>17</v>
      </c>
      <c r="H25" s="1">
        <v>48114.2</v>
      </c>
      <c r="I25" s="1">
        <f>Table1[[#This Row],[Miles]]/Table1[[#This Row],[Age of car]]</f>
        <v>2830.2470588235292</v>
      </c>
      <c r="J25" t="s">
        <v>18</v>
      </c>
      <c r="K25" t="s">
        <v>30</v>
      </c>
      <c r="L25" s="2">
        <v>100000</v>
      </c>
      <c r="M25" t="str">
        <f>IF(Table1[[#This Row],[Warantee Miles]]&gt;Table1[[#This Row],[Miles]],"Not yet","Yes")</f>
        <v>Not yet</v>
      </c>
      <c r="N25" t="str">
        <f>IF(Table1[[#This Row],[Covered?]]="Yes","New tyre","No")</f>
        <v>No</v>
      </c>
    </row>
    <row r="26" spans="1:14" x14ac:dyDescent="0.25">
      <c r="A26" t="s">
        <v>58</v>
      </c>
      <c r="B26" t="str">
        <f>LEFT(Table1[[#This Row],[Car ID]],2)</f>
        <v>TY</v>
      </c>
      <c r="C26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6" t="str">
        <f>MID(Table1[[#This Row],[Car ID]],5,3)</f>
        <v>COR</v>
      </c>
      <c r="E26" s="3">
        <v>2</v>
      </c>
      <c r="F26" s="4">
        <v>2002</v>
      </c>
      <c r="G26">
        <v>24</v>
      </c>
      <c r="H26" s="1">
        <v>64467.4</v>
      </c>
      <c r="I26" s="1">
        <f>Table1[[#This Row],[Miles]]/Table1[[#This Row],[Age of car]]</f>
        <v>2686.1416666666669</v>
      </c>
      <c r="J26" t="s">
        <v>59</v>
      </c>
      <c r="K26" t="s">
        <v>60</v>
      </c>
      <c r="L26" s="2">
        <v>100000</v>
      </c>
      <c r="M26" t="str">
        <f>IF(Table1[[#This Row],[Warantee Miles]]&gt;Table1[[#This Row],[Miles]],"Not yet","Yes")</f>
        <v>Not yet</v>
      </c>
      <c r="N26" t="str">
        <f>IF(Table1[[#This Row],[Covered?]]="Yes","New tyre","No")</f>
        <v>No</v>
      </c>
    </row>
    <row r="27" spans="1:14" x14ac:dyDescent="0.25">
      <c r="A27" t="s">
        <v>61</v>
      </c>
      <c r="B27" t="str">
        <f>LEFT(Table1[[#This Row],[Car ID]],2)</f>
        <v>TY</v>
      </c>
      <c r="C27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7" t="str">
        <f>MID(Table1[[#This Row],[Car ID]],5,3)</f>
        <v>COR</v>
      </c>
      <c r="E27" s="3">
        <v>3</v>
      </c>
      <c r="F27" s="4">
        <v>2003</v>
      </c>
      <c r="G27">
        <v>23</v>
      </c>
      <c r="H27" s="1">
        <v>73444.399999999994</v>
      </c>
      <c r="I27" s="1">
        <f>Table1[[#This Row],[Miles]]/Table1[[#This Row],[Age of car]]</f>
        <v>3193.2347826086952</v>
      </c>
      <c r="J27" t="s">
        <v>15</v>
      </c>
      <c r="K27" t="s">
        <v>60</v>
      </c>
      <c r="L27" s="2">
        <v>100000</v>
      </c>
      <c r="M27" t="str">
        <f>IF(Table1[[#This Row],[Warantee Miles]]&gt;Table1[[#This Row],[Miles]],"Not yet","Yes")</f>
        <v>Not yet</v>
      </c>
      <c r="N27" t="str">
        <f>IF(Table1[[#This Row],[Covered?]]="Yes","New tyre","No")</f>
        <v>No</v>
      </c>
    </row>
    <row r="28" spans="1:14" x14ac:dyDescent="0.25">
      <c r="A28" t="s">
        <v>62</v>
      </c>
      <c r="B28" t="str">
        <f>LEFT(Table1[[#This Row],[Car ID]],2)</f>
        <v>TY</v>
      </c>
      <c r="C28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8" t="str">
        <f>MID(Table1[[#This Row],[Car ID]],5,3)</f>
        <v>COR</v>
      </c>
      <c r="E28" s="3">
        <v>14</v>
      </c>
      <c r="F28" s="4">
        <v>2014</v>
      </c>
      <c r="G28">
        <v>12</v>
      </c>
      <c r="H28" s="1">
        <v>17556.3</v>
      </c>
      <c r="I28" s="1">
        <f>Table1[[#This Row],[Miles]]/Table1[[#This Row],[Age of car]]</f>
        <v>1463.0249999999999</v>
      </c>
      <c r="J28" t="s">
        <v>50</v>
      </c>
      <c r="K28" t="s">
        <v>33</v>
      </c>
      <c r="L28" s="2">
        <v>100000</v>
      </c>
      <c r="M28" t="str">
        <f>IF(Table1[[#This Row],[Warantee Miles]]&gt;Table1[[#This Row],[Miles]],"Not yet","Yes")</f>
        <v>Not yet</v>
      </c>
      <c r="N28" t="str">
        <f>IF(Table1[[#This Row],[Covered?]]="Yes","New tyre","No")</f>
        <v>No</v>
      </c>
    </row>
    <row r="29" spans="1:14" x14ac:dyDescent="0.25">
      <c r="A29" t="s">
        <v>63</v>
      </c>
      <c r="B29" t="str">
        <f>LEFT(Table1[[#This Row],[Car ID]],2)</f>
        <v>TY</v>
      </c>
      <c r="C29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29" t="str">
        <f>MID(Table1[[#This Row],[Car ID]],5,3)</f>
        <v>COR</v>
      </c>
      <c r="E29" s="3">
        <v>12</v>
      </c>
      <c r="F29" s="4">
        <v>2012</v>
      </c>
      <c r="G29">
        <v>14</v>
      </c>
      <c r="H29" s="1">
        <v>29601.9</v>
      </c>
      <c r="I29" s="1">
        <f>Table1[[#This Row],[Miles]]/Table1[[#This Row],[Age of car]]</f>
        <v>2114.4214285714288</v>
      </c>
      <c r="J29" t="s">
        <v>15</v>
      </c>
      <c r="K29" t="s">
        <v>41</v>
      </c>
      <c r="L29" s="2">
        <v>100000</v>
      </c>
      <c r="M29" t="str">
        <f>IF(Table1[[#This Row],[Warantee Miles]]&gt;Table1[[#This Row],[Miles]],"Not yet","Yes")</f>
        <v>Not yet</v>
      </c>
      <c r="N29" t="str">
        <f>IF(Table1[[#This Row],[Covered?]]="Yes","New tyre","No")</f>
        <v>No</v>
      </c>
    </row>
    <row r="30" spans="1:14" x14ac:dyDescent="0.25">
      <c r="A30" t="s">
        <v>64</v>
      </c>
      <c r="B30" t="str">
        <f>LEFT(Table1[[#This Row],[Car ID]],2)</f>
        <v>TY</v>
      </c>
      <c r="C30" t="str">
        <f>IF(Table1[[#This Row],[Make]]="FD","Ford",IF(Table1[[#This Row],[Make]]="TY","Toyota",IF(Table1[[#This Row],[Make]]="HO","Honda",IF(Table1[[#This Row],[Make]]="CR","Crysler",IF(Table1[[#This Row],[Make]]="HY","Hyundai","Nill")))))</f>
        <v>Toyota</v>
      </c>
      <c r="D30" t="str">
        <f>MID(Table1[[#This Row],[Car ID]],5,3)</f>
        <v>CAM</v>
      </c>
      <c r="E30" s="3">
        <v>12</v>
      </c>
      <c r="F30" s="4">
        <v>2012</v>
      </c>
      <c r="G30">
        <v>14</v>
      </c>
      <c r="H30" s="1">
        <v>22128.2</v>
      </c>
      <c r="I30" s="1">
        <f>Table1[[#This Row],[Miles]]/Table1[[#This Row],[Age of car]]</f>
        <v>1580.5857142857144</v>
      </c>
      <c r="J30" t="s">
        <v>50</v>
      </c>
      <c r="K30" t="s">
        <v>52</v>
      </c>
      <c r="L30" s="2">
        <v>100000</v>
      </c>
      <c r="M30" t="str">
        <f>IF(Table1[[#This Row],[Warantee Miles]]&gt;Table1[[#This Row],[Miles]],"Not yet","Yes")</f>
        <v>Not yet</v>
      </c>
      <c r="N30" t="str">
        <f>IF(Table1[[#This Row],[Covered?]]="Yes","New tyre","No")</f>
        <v>No</v>
      </c>
    </row>
    <row r="31" spans="1:14" x14ac:dyDescent="0.25">
      <c r="A31" t="s">
        <v>65</v>
      </c>
      <c r="B31" t="str">
        <f>LEFT(Table1[[#This Row],[Car ID]],2)</f>
        <v>HO</v>
      </c>
      <c r="C31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1" t="str">
        <f>MID(Table1[[#This Row],[Car ID]],5,3)</f>
        <v>CIV</v>
      </c>
      <c r="E31" s="3">
        <v>99</v>
      </c>
      <c r="F31" s="4">
        <v>1999</v>
      </c>
      <c r="G31">
        <v>27</v>
      </c>
      <c r="H31" s="1">
        <v>82374</v>
      </c>
      <c r="I31" s="1">
        <f>Table1[[#This Row],[Miles]]/Table1[[#This Row],[Age of car]]</f>
        <v>3050.8888888888887</v>
      </c>
      <c r="J31" t="s">
        <v>18</v>
      </c>
      <c r="K31" t="s">
        <v>39</v>
      </c>
      <c r="L31" s="2">
        <v>75000</v>
      </c>
      <c r="M31" t="str">
        <f>IF(Table1[[#This Row],[Warantee Miles]]&gt;Table1[[#This Row],[Miles]],"Not yet","Yes")</f>
        <v>Yes</v>
      </c>
      <c r="N31" t="str">
        <f>IF(Table1[[#This Row],[Covered?]]="Yes","New tyre","No")</f>
        <v>New tyre</v>
      </c>
    </row>
    <row r="32" spans="1:14" x14ac:dyDescent="0.25">
      <c r="A32" t="s">
        <v>66</v>
      </c>
      <c r="B32" t="str">
        <f>LEFT(Table1[[#This Row],[Car ID]],2)</f>
        <v>HO</v>
      </c>
      <c r="C32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2" t="str">
        <f>MID(Table1[[#This Row],[Car ID]],5,3)</f>
        <v>CIV</v>
      </c>
      <c r="E32" s="3">
        <v>1</v>
      </c>
      <c r="F32" s="4">
        <v>2001</v>
      </c>
      <c r="G32">
        <v>25</v>
      </c>
      <c r="H32" s="1">
        <v>69891.899999999994</v>
      </c>
      <c r="I32" s="1">
        <f>Table1[[#This Row],[Miles]]/Table1[[#This Row],[Age of car]]</f>
        <v>2795.6759999999999</v>
      </c>
      <c r="J32" t="s">
        <v>50</v>
      </c>
      <c r="K32" t="s">
        <v>24</v>
      </c>
      <c r="L32" s="2">
        <v>75000</v>
      </c>
      <c r="M32" t="str">
        <f>IF(Table1[[#This Row],[Warantee Miles]]&gt;Table1[[#This Row],[Miles]],"Not yet","Yes")</f>
        <v>Not yet</v>
      </c>
      <c r="N32" t="str">
        <f>IF(Table1[[#This Row],[Covered?]]="Yes","New tyre","No")</f>
        <v>No</v>
      </c>
    </row>
    <row r="33" spans="1:14" x14ac:dyDescent="0.25">
      <c r="A33" t="s">
        <v>67</v>
      </c>
      <c r="B33" t="str">
        <f>LEFT(Table1[[#This Row],[Car ID]],2)</f>
        <v>HO</v>
      </c>
      <c r="C33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3" t="str">
        <f>MID(Table1[[#This Row],[Car ID]],5,3)</f>
        <v>CIV</v>
      </c>
      <c r="E33" s="3">
        <v>10</v>
      </c>
      <c r="F33" s="4">
        <v>2010</v>
      </c>
      <c r="G33">
        <v>16</v>
      </c>
      <c r="H33" s="1">
        <v>22573</v>
      </c>
      <c r="I33" s="1">
        <f>Table1[[#This Row],[Miles]]/Table1[[#This Row],[Age of car]]</f>
        <v>1410.8125</v>
      </c>
      <c r="J33" t="s">
        <v>50</v>
      </c>
      <c r="K33" t="s">
        <v>45</v>
      </c>
      <c r="L33" s="2">
        <v>75000</v>
      </c>
      <c r="M33" t="str">
        <f>IF(Table1[[#This Row],[Warantee Miles]]&gt;Table1[[#This Row],[Miles]],"Not yet","Yes")</f>
        <v>Not yet</v>
      </c>
      <c r="N33" t="str">
        <f>IF(Table1[[#This Row],[Covered?]]="Yes","New tyre","No")</f>
        <v>No</v>
      </c>
    </row>
    <row r="34" spans="1:14" x14ac:dyDescent="0.25">
      <c r="A34" t="s">
        <v>68</v>
      </c>
      <c r="B34" t="str">
        <f>LEFT(Table1[[#This Row],[Car ID]],2)</f>
        <v>HO</v>
      </c>
      <c r="C34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4" t="str">
        <f>MID(Table1[[#This Row],[Car ID]],5,3)</f>
        <v>CIV</v>
      </c>
      <c r="E34" s="3">
        <v>10</v>
      </c>
      <c r="F34" s="4">
        <v>2010</v>
      </c>
      <c r="G34">
        <v>16</v>
      </c>
      <c r="H34" s="1">
        <v>33477.199999999997</v>
      </c>
      <c r="I34" s="1">
        <f>Table1[[#This Row],[Miles]]/Table1[[#This Row],[Age of car]]</f>
        <v>2092.3249999999998</v>
      </c>
      <c r="J34" t="s">
        <v>15</v>
      </c>
      <c r="K34" t="s">
        <v>54</v>
      </c>
      <c r="L34" s="2">
        <v>75000</v>
      </c>
      <c r="M34" t="str">
        <f>IF(Table1[[#This Row],[Warantee Miles]]&gt;Table1[[#This Row],[Miles]],"Not yet","Yes")</f>
        <v>Not yet</v>
      </c>
      <c r="N34" t="str">
        <f>IF(Table1[[#This Row],[Covered?]]="Yes","New tyre","No")</f>
        <v>No</v>
      </c>
    </row>
    <row r="35" spans="1:14" x14ac:dyDescent="0.25">
      <c r="A35" t="s">
        <v>69</v>
      </c>
      <c r="B35" t="str">
        <f>LEFT(Table1[[#This Row],[Car ID]],2)</f>
        <v>HO</v>
      </c>
      <c r="C35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5" t="str">
        <f>MID(Table1[[#This Row],[Car ID]],5,3)</f>
        <v>CIV</v>
      </c>
      <c r="E35" s="3">
        <v>11</v>
      </c>
      <c r="F35" s="4">
        <v>2011</v>
      </c>
      <c r="G35">
        <v>15</v>
      </c>
      <c r="H35" s="1">
        <v>30555.3</v>
      </c>
      <c r="I35" s="1">
        <f>Table1[[#This Row],[Miles]]/Table1[[#This Row],[Age of car]]</f>
        <v>2037.02</v>
      </c>
      <c r="J35" t="s">
        <v>15</v>
      </c>
      <c r="K35" t="s">
        <v>22</v>
      </c>
      <c r="L35" s="2">
        <v>75000</v>
      </c>
      <c r="M35" t="str">
        <f>IF(Table1[[#This Row],[Warantee Miles]]&gt;Table1[[#This Row],[Miles]],"Not yet","Yes")</f>
        <v>Not yet</v>
      </c>
      <c r="N35" t="str">
        <f>IF(Table1[[#This Row],[Covered?]]="Yes","New tyre","No")</f>
        <v>No</v>
      </c>
    </row>
    <row r="36" spans="1:14" x14ac:dyDescent="0.25">
      <c r="A36" t="s">
        <v>70</v>
      </c>
      <c r="B36" t="str">
        <f>LEFT(Table1[[#This Row],[Car ID]],2)</f>
        <v>HO</v>
      </c>
      <c r="C36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6" t="str">
        <f>MID(Table1[[#This Row],[Car ID]],5,3)</f>
        <v>CIV</v>
      </c>
      <c r="E36" s="3">
        <v>12</v>
      </c>
      <c r="F36" s="4">
        <v>2012</v>
      </c>
      <c r="G36">
        <v>14</v>
      </c>
      <c r="H36" s="1">
        <v>24513.200000000001</v>
      </c>
      <c r="I36" s="1">
        <f>Table1[[#This Row],[Miles]]/Table1[[#This Row],[Age of car]]</f>
        <v>1750.9428571428573</v>
      </c>
      <c r="J36" t="s">
        <v>15</v>
      </c>
      <c r="K36" t="s">
        <v>47</v>
      </c>
      <c r="L36" s="2">
        <v>75000</v>
      </c>
      <c r="M36" t="str">
        <f>IF(Table1[[#This Row],[Warantee Miles]]&gt;Table1[[#This Row],[Miles]],"Not yet","Yes")</f>
        <v>Not yet</v>
      </c>
      <c r="N36" t="str">
        <f>IF(Table1[[#This Row],[Covered?]]="Yes","New tyre","No")</f>
        <v>No</v>
      </c>
    </row>
    <row r="37" spans="1:14" x14ac:dyDescent="0.25">
      <c r="A37" t="s">
        <v>71</v>
      </c>
      <c r="B37" t="str">
        <f>LEFT(Table1[[#This Row],[Car ID]],2)</f>
        <v>HO</v>
      </c>
      <c r="C37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7" t="str">
        <f>MID(Table1[[#This Row],[Car ID]],5,3)</f>
        <v>CIV</v>
      </c>
      <c r="E37" s="3">
        <v>13</v>
      </c>
      <c r="F37" s="4">
        <v>2013</v>
      </c>
      <c r="G37">
        <v>13</v>
      </c>
      <c r="H37" s="1">
        <v>13867.6</v>
      </c>
      <c r="I37" s="1">
        <f>Table1[[#This Row],[Miles]]/Table1[[#This Row],[Age of car]]</f>
        <v>1066.7384615384615</v>
      </c>
      <c r="J37" t="s">
        <v>15</v>
      </c>
      <c r="K37" t="s">
        <v>52</v>
      </c>
      <c r="L37" s="2">
        <v>75000</v>
      </c>
      <c r="M37" t="str">
        <f>IF(Table1[[#This Row],[Warantee Miles]]&gt;Table1[[#This Row],[Miles]],"Not yet","Yes")</f>
        <v>Not yet</v>
      </c>
      <c r="N37" t="str">
        <f>IF(Table1[[#This Row],[Covered?]]="Yes","New tyre","No")</f>
        <v>No</v>
      </c>
    </row>
    <row r="38" spans="1:14" x14ac:dyDescent="0.25">
      <c r="A38" t="s">
        <v>90</v>
      </c>
      <c r="B38" t="str">
        <f>LEFT(Table1[[#This Row],[Car ID]],2)</f>
        <v>HO</v>
      </c>
      <c r="C38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8" t="str">
        <f>MID(Table1[[#This Row],[Car ID]],5,3)</f>
        <v>ODY</v>
      </c>
      <c r="E38" s="3">
        <v>5</v>
      </c>
      <c r="F38" s="4">
        <v>2005</v>
      </c>
      <c r="G38">
        <v>21</v>
      </c>
      <c r="H38" s="1">
        <v>60389.5</v>
      </c>
      <c r="I38" s="1">
        <f>Table1[[#This Row],[Miles]]/Table1[[#This Row],[Age of car]]</f>
        <v>2875.6904761904761</v>
      </c>
      <c r="J38" t="s">
        <v>18</v>
      </c>
      <c r="K38" t="s">
        <v>30</v>
      </c>
      <c r="L38" s="2">
        <v>100000</v>
      </c>
      <c r="M38" t="str">
        <f>IF(Table1[[#This Row],[Warantee Miles]]&gt;Table1[[#This Row],[Miles]],"Not yet","Yes")</f>
        <v>Not yet</v>
      </c>
      <c r="N38" t="str">
        <f>IF(Table1[[#This Row],[Covered?]]="Yes","New tyre","No")</f>
        <v>No</v>
      </c>
    </row>
    <row r="39" spans="1:14" x14ac:dyDescent="0.25">
      <c r="A39" t="s">
        <v>73</v>
      </c>
      <c r="B39" t="str">
        <f>LEFT(Table1[[#This Row],[Car ID]],2)</f>
        <v>HO</v>
      </c>
      <c r="C39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39" t="str">
        <f>MID(Table1[[#This Row],[Car ID]],5,3)</f>
        <v>ODY</v>
      </c>
      <c r="E39" s="3">
        <v>7</v>
      </c>
      <c r="F39" s="4">
        <v>2007</v>
      </c>
      <c r="G39">
        <v>19</v>
      </c>
      <c r="H39" s="1">
        <v>50854.1</v>
      </c>
      <c r="I39" s="1">
        <f>Table1[[#This Row],[Miles]]/Table1[[#This Row],[Age of car]]</f>
        <v>2676.5315789473684</v>
      </c>
      <c r="J39" t="s">
        <v>15</v>
      </c>
      <c r="K39" t="s">
        <v>54</v>
      </c>
      <c r="L39" s="2">
        <v>100000</v>
      </c>
      <c r="M39" t="str">
        <f>IF(Table1[[#This Row],[Warantee Miles]]&gt;Table1[[#This Row],[Miles]],"Not yet","Yes")</f>
        <v>Not yet</v>
      </c>
      <c r="N39" t="str">
        <f>IF(Table1[[#This Row],[Covered?]]="Yes","New tyre","No")</f>
        <v>No</v>
      </c>
    </row>
    <row r="40" spans="1:14" x14ac:dyDescent="0.25">
      <c r="A40" t="s">
        <v>74</v>
      </c>
      <c r="B40" t="str">
        <f>LEFT(Table1[[#This Row],[Car ID]],2)</f>
        <v>HO</v>
      </c>
      <c r="C40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40" t="str">
        <f>MID(Table1[[#This Row],[Car ID]],5,3)</f>
        <v>ODY</v>
      </c>
      <c r="E40" s="3">
        <v>8</v>
      </c>
      <c r="F40" s="4">
        <v>2008</v>
      </c>
      <c r="G40">
        <v>18</v>
      </c>
      <c r="H40" s="1">
        <v>42504.6</v>
      </c>
      <c r="I40" s="1">
        <f>Table1[[#This Row],[Miles]]/Table1[[#This Row],[Age of car]]</f>
        <v>2361.3666666666668</v>
      </c>
      <c r="J40" t="s">
        <v>18</v>
      </c>
      <c r="K40" t="s">
        <v>39</v>
      </c>
      <c r="L40" s="2">
        <v>100000</v>
      </c>
      <c r="M40" t="str">
        <f>IF(Table1[[#This Row],[Warantee Miles]]&gt;Table1[[#This Row],[Miles]],"Not yet","Yes")</f>
        <v>Not yet</v>
      </c>
      <c r="N40" t="str">
        <f>IF(Table1[[#This Row],[Covered?]]="Yes","New tyre","No")</f>
        <v>No</v>
      </c>
    </row>
    <row r="41" spans="1:14" x14ac:dyDescent="0.25">
      <c r="A41" t="s">
        <v>75</v>
      </c>
      <c r="B41" t="str">
        <f>LEFT(Table1[[#This Row],[Car ID]],2)</f>
        <v>HO</v>
      </c>
      <c r="C41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41" t="str">
        <f>MID(Table1[[#This Row],[Car ID]],5,3)</f>
        <v>0OD</v>
      </c>
      <c r="E41" s="3">
        <v>1</v>
      </c>
      <c r="F41" s="4">
        <v>2001</v>
      </c>
      <c r="G41">
        <v>25</v>
      </c>
      <c r="H41" s="1">
        <v>68658.899999999994</v>
      </c>
      <c r="I41" s="1">
        <f>Table1[[#This Row],[Miles]]/Table1[[#This Row],[Age of car]]</f>
        <v>2746.3559999999998</v>
      </c>
      <c r="J41" t="s">
        <v>15</v>
      </c>
      <c r="K41" t="s">
        <v>16</v>
      </c>
      <c r="L41" s="2">
        <v>100000</v>
      </c>
      <c r="M41" t="str">
        <f>IF(Table1[[#This Row],[Warantee Miles]]&gt;Table1[[#This Row],[Miles]],"Not yet","Yes")</f>
        <v>Not yet</v>
      </c>
      <c r="N41" t="str">
        <f>IF(Table1[[#This Row],[Covered?]]="Yes","New tyre","No")</f>
        <v>No</v>
      </c>
    </row>
    <row r="42" spans="1:14" x14ac:dyDescent="0.25">
      <c r="A42" t="s">
        <v>76</v>
      </c>
      <c r="B42" t="str">
        <f>LEFT(Table1[[#This Row],[Car ID]],2)</f>
        <v>HO</v>
      </c>
      <c r="C42" t="str">
        <f>IF(Table1[[#This Row],[Make]]="FD","Ford",IF(Table1[[#This Row],[Make]]="TY","Toyota",IF(Table1[[#This Row],[Make]]="HO","Honda",IF(Table1[[#This Row],[Make]]="CR","Crysler",IF(Table1[[#This Row],[Make]]="HY","Hyundai","Nill")))))</f>
        <v>Honda</v>
      </c>
      <c r="D42" t="str">
        <f>MID(Table1[[#This Row],[Car ID]],5,3)</f>
        <v>ODY</v>
      </c>
      <c r="E42" s="3">
        <v>14</v>
      </c>
      <c r="F42" s="4">
        <v>2014</v>
      </c>
      <c r="G42">
        <v>12</v>
      </c>
      <c r="H42" s="1">
        <v>3708.1</v>
      </c>
      <c r="I42" s="1">
        <f>Table1[[#This Row],[Miles]]/Table1[[#This Row],[Age of car]]</f>
        <v>309.00833333333333</v>
      </c>
      <c r="J42" t="s">
        <v>15</v>
      </c>
      <c r="K42" t="s">
        <v>19</v>
      </c>
      <c r="L42" s="2">
        <v>100000</v>
      </c>
      <c r="M42" t="str">
        <f>IF(Table1[[#This Row],[Warantee Miles]]&gt;Table1[[#This Row],[Miles]],"Not yet","Yes")</f>
        <v>Not yet</v>
      </c>
      <c r="N42" t="str">
        <f>IF(Table1[[#This Row],[Covered?]]="Yes","New tyre","No")</f>
        <v>No</v>
      </c>
    </row>
    <row r="43" spans="1:14" x14ac:dyDescent="0.25">
      <c r="A43" t="s">
        <v>77</v>
      </c>
      <c r="B43" t="str">
        <f>LEFT(Table1[[#This Row],[Car ID]],2)</f>
        <v>CR</v>
      </c>
      <c r="C43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3" t="str">
        <f>MID(Table1[[#This Row],[Car ID]],5,3)</f>
        <v>PTC</v>
      </c>
      <c r="E43" s="3">
        <v>4</v>
      </c>
      <c r="F43" s="4">
        <v>2004</v>
      </c>
      <c r="G43">
        <v>22</v>
      </c>
      <c r="H43" s="1">
        <v>64542</v>
      </c>
      <c r="I43" s="1">
        <f>Table1[[#This Row],[Miles]]/Table1[[#This Row],[Age of car]]</f>
        <v>2933.7272727272725</v>
      </c>
      <c r="J43" t="s">
        <v>50</v>
      </c>
      <c r="K43" t="s">
        <v>16</v>
      </c>
      <c r="L43" s="2">
        <v>75000</v>
      </c>
      <c r="M43" t="str">
        <f>IF(Table1[[#This Row],[Warantee Miles]]&gt;Table1[[#This Row],[Miles]],"Not yet","Yes")</f>
        <v>Not yet</v>
      </c>
      <c r="N43" t="str">
        <f>IF(Table1[[#This Row],[Covered?]]="Yes","New tyre","No")</f>
        <v>No</v>
      </c>
    </row>
    <row r="44" spans="1:14" x14ac:dyDescent="0.25">
      <c r="A44" t="s">
        <v>78</v>
      </c>
      <c r="B44" t="str">
        <f>LEFT(Table1[[#This Row],[Car ID]],2)</f>
        <v>CR</v>
      </c>
      <c r="C44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4" t="str">
        <f>MID(Table1[[#This Row],[Car ID]],5,3)</f>
        <v>PTC</v>
      </c>
      <c r="E44" s="3">
        <v>7</v>
      </c>
      <c r="F44" s="4">
        <v>2007</v>
      </c>
      <c r="G44">
        <v>19</v>
      </c>
      <c r="H44" s="1">
        <v>42074.2</v>
      </c>
      <c r="I44" s="1">
        <f>Table1[[#This Row],[Miles]]/Table1[[#This Row],[Age of car]]</f>
        <v>2214.4315789473681</v>
      </c>
      <c r="J44" t="s">
        <v>21</v>
      </c>
      <c r="K44" t="s">
        <v>60</v>
      </c>
      <c r="L44" s="2">
        <v>75000</v>
      </c>
      <c r="M44" t="str">
        <f>IF(Table1[[#This Row],[Warantee Miles]]&gt;Table1[[#This Row],[Miles]],"Not yet","Yes")</f>
        <v>Not yet</v>
      </c>
      <c r="N44" t="str">
        <f>IF(Table1[[#This Row],[Covered?]]="Yes","New tyre","No")</f>
        <v>No</v>
      </c>
    </row>
    <row r="45" spans="1:14" x14ac:dyDescent="0.25">
      <c r="A45" t="s">
        <v>79</v>
      </c>
      <c r="B45" t="str">
        <f>LEFT(Table1[[#This Row],[Car ID]],2)</f>
        <v>CR</v>
      </c>
      <c r="C45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5" t="str">
        <f>MID(Table1[[#This Row],[Car ID]],5,3)</f>
        <v>PTC</v>
      </c>
      <c r="E45" s="3">
        <v>11</v>
      </c>
      <c r="F45" s="4">
        <v>2011</v>
      </c>
      <c r="G45">
        <v>15</v>
      </c>
      <c r="H45" s="1">
        <v>27394.2</v>
      </c>
      <c r="I45" s="1">
        <f>Table1[[#This Row],[Miles]]/Table1[[#This Row],[Age of car]]</f>
        <v>1826.28</v>
      </c>
      <c r="J45" t="s">
        <v>15</v>
      </c>
      <c r="K45" t="s">
        <v>37</v>
      </c>
      <c r="L45" s="2">
        <v>75000</v>
      </c>
      <c r="M45" t="str">
        <f>IF(Table1[[#This Row],[Warantee Miles]]&gt;Table1[[#This Row],[Miles]],"Not yet","Yes")</f>
        <v>Not yet</v>
      </c>
      <c r="N45" t="str">
        <f>IF(Table1[[#This Row],[Covered?]]="Yes","New tyre","No")</f>
        <v>No</v>
      </c>
    </row>
    <row r="46" spans="1:14" x14ac:dyDescent="0.25">
      <c r="A46" t="s">
        <v>80</v>
      </c>
      <c r="B46" t="str">
        <f>LEFT(Table1[[#This Row],[Car ID]],2)</f>
        <v>CR</v>
      </c>
      <c r="C46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6" t="str">
        <f>MID(Table1[[#This Row],[Car ID]],5,3)</f>
        <v>CAR</v>
      </c>
      <c r="E46" s="3">
        <v>99</v>
      </c>
      <c r="F46" s="4">
        <v>1999</v>
      </c>
      <c r="G46">
        <v>27</v>
      </c>
      <c r="H46" s="1">
        <v>79420.600000000006</v>
      </c>
      <c r="I46" s="1">
        <f>Table1[[#This Row],[Miles]]/Table1[[#This Row],[Age of car]]</f>
        <v>2941.5037037037041</v>
      </c>
      <c r="J46" t="s">
        <v>21</v>
      </c>
      <c r="K46" t="s">
        <v>47</v>
      </c>
      <c r="L46" s="2">
        <v>75000</v>
      </c>
      <c r="M46" t="str">
        <f>IF(Table1[[#This Row],[Warantee Miles]]&gt;Table1[[#This Row],[Miles]],"Not yet","Yes")</f>
        <v>Yes</v>
      </c>
      <c r="N46" t="str">
        <f>IF(Table1[[#This Row],[Covered?]]="Yes","New tyre","No")</f>
        <v>New tyre</v>
      </c>
    </row>
    <row r="47" spans="1:14" x14ac:dyDescent="0.25">
      <c r="A47" t="s">
        <v>91</v>
      </c>
      <c r="B47" t="str">
        <f>LEFT(Table1[[#This Row],[Car ID]],2)</f>
        <v>CR</v>
      </c>
      <c r="C47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7" t="str">
        <f>MID(Table1[[#This Row],[Car ID]],5,3)</f>
        <v>CAR</v>
      </c>
      <c r="E47" s="3">
        <v>1</v>
      </c>
      <c r="F47" s="4">
        <v>2001</v>
      </c>
      <c r="G47">
        <v>25</v>
      </c>
      <c r="H47" s="1">
        <v>77243.100000000006</v>
      </c>
      <c r="I47" s="1">
        <f>Table1[[#This Row],[Miles]]/Table1[[#This Row],[Age of car]]</f>
        <v>3089.7240000000002</v>
      </c>
      <c r="J47" t="s">
        <v>15</v>
      </c>
      <c r="K47" t="s">
        <v>24</v>
      </c>
      <c r="L47" s="2">
        <v>75000</v>
      </c>
      <c r="M47" t="str">
        <f>IF(Table1[[#This Row],[Warantee Miles]]&gt;Table1[[#This Row],[Miles]],"Not yet","Yes")</f>
        <v>Yes</v>
      </c>
      <c r="N47" t="str">
        <f>IF(Table1[[#This Row],[Covered?]]="Yes","New tyre","No")</f>
        <v>New tyre</v>
      </c>
    </row>
    <row r="48" spans="1:14" x14ac:dyDescent="0.25">
      <c r="A48" t="s">
        <v>82</v>
      </c>
      <c r="B48" t="str">
        <f>LEFT(Table1[[#This Row],[Car ID]],2)</f>
        <v>CR</v>
      </c>
      <c r="C48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8" t="str">
        <f>MID(Table1[[#This Row],[Car ID]],5,3)</f>
        <v>CAR</v>
      </c>
      <c r="E48" s="3">
        <v>4</v>
      </c>
      <c r="F48" s="4">
        <v>2004</v>
      </c>
      <c r="G48">
        <v>22</v>
      </c>
      <c r="H48" s="1">
        <v>72527.199999999997</v>
      </c>
      <c r="I48" s="1">
        <f>Table1[[#This Row],[Miles]]/Table1[[#This Row],[Age of car]]</f>
        <v>3296.6909090909089</v>
      </c>
      <c r="J48" t="s">
        <v>18</v>
      </c>
      <c r="K48" t="s">
        <v>43</v>
      </c>
      <c r="L48" s="2">
        <v>75000</v>
      </c>
      <c r="M48" t="str">
        <f>IF(Table1[[#This Row],[Warantee Miles]]&gt;Table1[[#This Row],[Miles]],"Not yet","Yes")</f>
        <v>Not yet</v>
      </c>
      <c r="N48" t="str">
        <f>IF(Table1[[#This Row],[Covered?]]="Yes","New tyre","No")</f>
        <v>No</v>
      </c>
    </row>
    <row r="49" spans="1:14" x14ac:dyDescent="0.25">
      <c r="A49" t="s">
        <v>83</v>
      </c>
      <c r="B49" t="str">
        <f>LEFT(Table1[[#This Row],[Car ID]],2)</f>
        <v>CR</v>
      </c>
      <c r="C49" t="str">
        <f>IF(Table1[[#This Row],[Make]]="FD","Ford",IF(Table1[[#This Row],[Make]]="TY","Toyota",IF(Table1[[#This Row],[Make]]="HO","Honda",IF(Table1[[#This Row],[Make]]="CR","Crysler",IF(Table1[[#This Row],[Make]]="HY","Hyundai","Nill")))))</f>
        <v>Crysler</v>
      </c>
      <c r="D49" t="str">
        <f>MID(Table1[[#This Row],[Car ID]],5,3)</f>
        <v>CAR</v>
      </c>
      <c r="E49" s="3">
        <v>4</v>
      </c>
      <c r="F49" s="4">
        <v>2004</v>
      </c>
      <c r="G49">
        <v>22</v>
      </c>
      <c r="H49" s="1">
        <v>52699.4</v>
      </c>
      <c r="I49" s="1">
        <f>Table1[[#This Row],[Miles]]/Table1[[#This Row],[Age of car]]</f>
        <v>2395.4272727272728</v>
      </c>
      <c r="J49" t="s">
        <v>59</v>
      </c>
      <c r="K49" t="s">
        <v>43</v>
      </c>
      <c r="L49" s="2">
        <v>75000</v>
      </c>
      <c r="M49" t="str">
        <f>IF(Table1[[#This Row],[Warantee Miles]]&gt;Table1[[#This Row],[Miles]],"Not yet","Yes")</f>
        <v>Not yet</v>
      </c>
      <c r="N49" t="str">
        <f>IF(Table1[[#This Row],[Covered?]]="Yes","New tyre","No")</f>
        <v>No</v>
      </c>
    </row>
    <row r="50" spans="1:14" x14ac:dyDescent="0.25">
      <c r="A50" t="s">
        <v>84</v>
      </c>
      <c r="B50" t="str">
        <f>LEFT(Table1[[#This Row],[Car ID]],2)</f>
        <v>HY</v>
      </c>
      <c r="C50" t="str">
        <f>IF(Table1[[#This Row],[Make]]="FD","Ford",IF(Table1[[#This Row],[Make]]="TY","Toyota",IF(Table1[[#This Row],[Make]]="HO","Honda",IF(Table1[[#This Row],[Make]]="CR","Crysler",IF(Table1[[#This Row],[Make]]="HY","Hyundai","Nill")))))</f>
        <v>Hyundai</v>
      </c>
      <c r="D50" t="str">
        <f>MID(Table1[[#This Row],[Car ID]],5,3)</f>
        <v>ELA</v>
      </c>
      <c r="E50" s="3">
        <v>11</v>
      </c>
      <c r="F50" s="4">
        <v>2011</v>
      </c>
      <c r="G50">
        <v>15</v>
      </c>
      <c r="H50" s="1">
        <v>29102.3</v>
      </c>
      <c r="I50" s="1">
        <f>Table1[[#This Row],[Miles]]/Table1[[#This Row],[Age of car]]</f>
        <v>1940.1533333333332</v>
      </c>
      <c r="J50" t="s">
        <v>15</v>
      </c>
      <c r="K50" t="s">
        <v>45</v>
      </c>
      <c r="L50" s="2">
        <v>100000</v>
      </c>
      <c r="M50" t="str">
        <f>IF(Table1[[#This Row],[Warantee Miles]]&gt;Table1[[#This Row],[Miles]],"Not yet","Yes")</f>
        <v>Not yet</v>
      </c>
      <c r="N50" t="str">
        <f>IF(Table1[[#This Row],[Covered?]]="Yes","New tyre","No")</f>
        <v>No</v>
      </c>
    </row>
    <row r="51" spans="1:14" x14ac:dyDescent="0.25">
      <c r="A51" t="s">
        <v>85</v>
      </c>
      <c r="B51" t="str">
        <f>LEFT(Table1[[#This Row],[Car ID]],2)</f>
        <v>HY</v>
      </c>
      <c r="C51" t="str">
        <f>IF(Table1[[#This Row],[Make]]="FD","Ford",IF(Table1[[#This Row],[Make]]="TY","Toyota",IF(Table1[[#This Row],[Make]]="HO","Honda",IF(Table1[[#This Row],[Make]]="CR","Crysler",IF(Table1[[#This Row],[Make]]="HY","Hyundai","Nill")))))</f>
        <v>Hyundai</v>
      </c>
      <c r="D51" t="str">
        <f>MID(Table1[[#This Row],[Car ID]],5,3)</f>
        <v>ELA</v>
      </c>
      <c r="E51" s="3">
        <v>12</v>
      </c>
      <c r="F51" s="4">
        <v>2012</v>
      </c>
      <c r="G51">
        <v>14</v>
      </c>
      <c r="H51" s="1">
        <v>22282</v>
      </c>
      <c r="I51" s="1">
        <f>Table1[[#This Row],[Miles]]/Table1[[#This Row],[Age of car]]</f>
        <v>1591.5714285714287</v>
      </c>
      <c r="J51" t="s">
        <v>50</v>
      </c>
      <c r="K51" t="s">
        <v>19</v>
      </c>
      <c r="L51" s="2">
        <v>100000</v>
      </c>
      <c r="M51" t="str">
        <f>IF(Table1[[#This Row],[Warantee Miles]]&gt;Table1[[#This Row],[Miles]],"Not yet","Yes")</f>
        <v>Not yet</v>
      </c>
      <c r="N51" t="str">
        <f>IF(Table1[[#This Row],[Covered?]]="Yes","New tyre","No")</f>
        <v>No</v>
      </c>
    </row>
    <row r="52" spans="1:14" x14ac:dyDescent="0.25">
      <c r="A52" t="s">
        <v>86</v>
      </c>
      <c r="B52" t="str">
        <f>LEFT(Table1[[#This Row],[Car ID]],2)</f>
        <v>HY</v>
      </c>
      <c r="C52" t="str">
        <f>IF(Table1[[#This Row],[Make]]="FD","Ford",IF(Table1[[#This Row],[Make]]="TY","Toyota",IF(Table1[[#This Row],[Make]]="HO","Honda",IF(Table1[[#This Row],[Make]]="CR","Crysler",IF(Table1[[#This Row],[Make]]="HY","Hyundai","Nill")))))</f>
        <v>Hyundai</v>
      </c>
      <c r="D52" t="str">
        <f>MID(Table1[[#This Row],[Car ID]],5,3)</f>
        <v>ELA</v>
      </c>
      <c r="E52" s="3">
        <v>13</v>
      </c>
      <c r="F52" s="4">
        <v>2013</v>
      </c>
      <c r="G52">
        <v>13</v>
      </c>
      <c r="H52" s="1">
        <v>20223.900000000001</v>
      </c>
      <c r="I52" s="1">
        <f>Table1[[#This Row],[Miles]]/Table1[[#This Row],[Age of car]]</f>
        <v>1555.6846153846154</v>
      </c>
      <c r="J52" t="s">
        <v>15</v>
      </c>
      <c r="K52" t="s">
        <v>33</v>
      </c>
      <c r="L52" s="2">
        <v>100000</v>
      </c>
      <c r="M52" t="str">
        <f>IF(Table1[[#This Row],[Warantee Miles]]&gt;Table1[[#This Row],[Miles]],"Not yet","Yes")</f>
        <v>Not yet</v>
      </c>
      <c r="N52" t="str">
        <f>IF(Table1[[#This Row],[Covered?]]="Yes","New tyre","No")</f>
        <v>No</v>
      </c>
    </row>
    <row r="53" spans="1:14" x14ac:dyDescent="0.25">
      <c r="A53" t="s">
        <v>87</v>
      </c>
      <c r="B53" t="str">
        <f>LEFT(Table1[[#This Row],[Car ID]],2)</f>
        <v>HY</v>
      </c>
      <c r="C53" t="str">
        <f>IF(Table1[[#This Row],[Make]]="FD","Ford",IF(Table1[[#This Row],[Make]]="TY","Toyota",IF(Table1[[#This Row],[Make]]="HO","Honda",IF(Table1[[#This Row],[Make]]="CR","Crysler",IF(Table1[[#This Row],[Make]]="HY","Hyundai","Nill")))))</f>
        <v>Hyundai</v>
      </c>
      <c r="D53" t="str">
        <f>MID(Table1[[#This Row],[Car ID]],5,3)</f>
        <v>ELA</v>
      </c>
      <c r="E53" s="3">
        <v>13</v>
      </c>
      <c r="F53" s="4">
        <v>2013</v>
      </c>
      <c r="G53">
        <v>13</v>
      </c>
      <c r="H53" s="1">
        <v>22188.5</v>
      </c>
      <c r="I53" s="1">
        <f>Table1[[#This Row],[Miles]]/Table1[[#This Row],[Age of car]]</f>
        <v>1706.8076923076924</v>
      </c>
      <c r="J53" t="s">
        <v>50</v>
      </c>
      <c r="K53" t="s">
        <v>27</v>
      </c>
      <c r="L53" s="2">
        <v>100000</v>
      </c>
      <c r="M53" t="str">
        <f>IF(Table1[[#This Row],[Warantee Miles]]&gt;Table1[[#This Row],[Miles]],"Not yet","Yes")</f>
        <v>Not yet</v>
      </c>
      <c r="N53" t="str">
        <f>IF(Table1[[#This Row],[Covered?]]="Yes","New tyre","No")</f>
        <v>No</v>
      </c>
    </row>
  </sheetData>
  <phoneticPr fontId="18" type="noConversion"/>
  <conditionalFormatting sqref="N2:N53">
    <cfRule type="containsText" dxfId="0" priority="3" operator="containsText" text="New id">
      <formula>NOT(ISERROR(SEARCH("New id",N2)))</formula>
    </cfRule>
    <cfRule type="containsText" dxfId="1" priority="1" operator="containsText" text="New tyre">
      <formula>NOT(ISERROR(SEARCH("New tyre",N2)))</formula>
    </cfRule>
  </conditionalFormatting>
  <conditionalFormatting sqref="M2:M53">
    <cfRule type="containsText" dxfId="4" priority="2" operator="containsText" text="Yes">
      <formula>NOT(ISERROR(SEARCH("Yes",M2)))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inventory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2025-09-13T13:28:02Z</dcterms:created>
  <dcterms:modified xsi:type="dcterms:W3CDTF">2026-06-07T13:34:45Z</dcterms:modified>
</cp:coreProperties>
</file>