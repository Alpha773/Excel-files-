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utorial_data aalysis\Done data\"/>
    </mc:Choice>
  </mc:AlternateContent>
  <xr:revisionPtr revIDLastSave="0" documentId="13_ncr:1_{C9A6EAE5-CCA8-469E-83E2-B9B61CD1866C}" xr6:coauthVersionLast="47" xr6:coauthVersionMax="47" xr10:uidLastSave="{00000000-0000-0000-0000-000000000000}"/>
  <bookViews>
    <workbookView xWindow="-120" yWindow="-120" windowWidth="20730" windowHeight="11160" activeTab="2" xr2:uid="{00000000-000D-0000-FFFF-FFFF00000000}"/>
  </bookViews>
  <sheets>
    <sheet name="Summary" sheetId="1" r:id="rId1"/>
    <sheet name="Clean data" sheetId="2" r:id="rId2"/>
    <sheet name="Analysis" sheetId="4" r:id="rId3"/>
    <sheet name="VIEW" sheetId="3" r:id="rId4"/>
    <sheet name="Sheet4" sheetId="5" r:id="rId5"/>
  </sheets>
  <definedNames>
    <definedName name="_xlnm._FilterDatabase" localSheetId="0" hidden="1">Summary!$E$1:$S$246</definedName>
    <definedName name="COID">Analysis!$A$7</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4" l="1"/>
  <c r="P247" i="2"/>
  <c r="R247" i="2" s="1"/>
  <c r="L247" i="2"/>
  <c r="K247" i="2"/>
  <c r="P246" i="2"/>
  <c r="R246" i="2" s="1"/>
  <c r="L246" i="2"/>
  <c r="K246" i="2"/>
  <c r="P245" i="2"/>
  <c r="R245" i="2" s="1"/>
  <c r="L245" i="2"/>
  <c r="K245" i="2"/>
  <c r="P244" i="2"/>
  <c r="R244" i="2" s="1"/>
  <c r="L244" i="2"/>
  <c r="K244" i="2"/>
  <c r="P243" i="2"/>
  <c r="R243" i="2" s="1"/>
  <c r="L243" i="2"/>
  <c r="K243" i="2"/>
  <c r="P242" i="2"/>
  <c r="R242" i="2" s="1"/>
  <c r="L242" i="2"/>
  <c r="K242" i="2"/>
  <c r="P241" i="2"/>
  <c r="R241" i="2" s="1"/>
  <c r="L241" i="2"/>
  <c r="K241" i="2"/>
  <c r="P240" i="2"/>
  <c r="R240" i="2" s="1"/>
  <c r="L240" i="2"/>
  <c r="K240" i="2"/>
  <c r="P239" i="2"/>
  <c r="R239" i="2" s="1"/>
  <c r="L239" i="2"/>
  <c r="K239" i="2"/>
  <c r="P238" i="2"/>
  <c r="R238" i="2" s="1"/>
  <c r="L238" i="2"/>
  <c r="K238" i="2"/>
  <c r="P237" i="2"/>
  <c r="R237" i="2" s="1"/>
  <c r="L237" i="2"/>
  <c r="K237" i="2"/>
  <c r="P236" i="2"/>
  <c r="R236" i="2" s="1"/>
  <c r="L236" i="2"/>
  <c r="K236" i="2"/>
  <c r="P235" i="2"/>
  <c r="R235" i="2" s="1"/>
  <c r="L235" i="2"/>
  <c r="K235" i="2"/>
  <c r="P234" i="2"/>
  <c r="R234" i="2" s="1"/>
  <c r="L234" i="2"/>
  <c r="K234" i="2"/>
  <c r="P233" i="2"/>
  <c r="R233" i="2" s="1"/>
  <c r="L233" i="2"/>
  <c r="K233" i="2"/>
  <c r="P232" i="2"/>
  <c r="R232" i="2" s="1"/>
  <c r="L232" i="2"/>
  <c r="K232" i="2"/>
  <c r="P231" i="2"/>
  <c r="R231" i="2" s="1"/>
  <c r="L231" i="2"/>
  <c r="K231" i="2"/>
  <c r="P230" i="2"/>
  <c r="R230" i="2" s="1"/>
  <c r="L230" i="2"/>
  <c r="K230" i="2"/>
  <c r="P229" i="2"/>
  <c r="R229" i="2" s="1"/>
  <c r="L229" i="2"/>
  <c r="K229" i="2"/>
  <c r="P228" i="2"/>
  <c r="R228" i="2" s="1"/>
  <c r="L228" i="2"/>
  <c r="K228" i="2"/>
  <c r="P227" i="2"/>
  <c r="R227" i="2" s="1"/>
  <c r="L227" i="2"/>
  <c r="K227" i="2"/>
  <c r="P226" i="2"/>
  <c r="R226" i="2" s="1"/>
  <c r="L226" i="2"/>
  <c r="K226" i="2"/>
  <c r="P225" i="2"/>
  <c r="R225" i="2" s="1"/>
  <c r="L225" i="2"/>
  <c r="K225" i="2"/>
  <c r="P224" i="2"/>
  <c r="R224" i="2" s="1"/>
  <c r="L224" i="2"/>
  <c r="K224" i="2"/>
  <c r="P223" i="2"/>
  <c r="R223" i="2" s="1"/>
  <c r="L223" i="2"/>
  <c r="K223" i="2"/>
  <c r="P222" i="2"/>
  <c r="R222" i="2" s="1"/>
  <c r="L222" i="2"/>
  <c r="K222" i="2"/>
  <c r="P221" i="2"/>
  <c r="R221" i="2" s="1"/>
  <c r="L221" i="2"/>
  <c r="K221" i="2"/>
  <c r="P220" i="2"/>
  <c r="R220" i="2" s="1"/>
  <c r="L220" i="2"/>
  <c r="K220" i="2"/>
  <c r="P219" i="2"/>
  <c r="R219" i="2" s="1"/>
  <c r="L219" i="2"/>
  <c r="K219" i="2"/>
  <c r="P218" i="2"/>
  <c r="R218" i="2" s="1"/>
  <c r="L218" i="2"/>
  <c r="K218" i="2"/>
  <c r="P217" i="2"/>
  <c r="R217" i="2" s="1"/>
  <c r="L217" i="2"/>
  <c r="K217" i="2"/>
  <c r="P216" i="2"/>
  <c r="R216" i="2" s="1"/>
  <c r="L216" i="2"/>
  <c r="K216" i="2"/>
  <c r="P215" i="2"/>
  <c r="R215" i="2" s="1"/>
  <c r="L215" i="2"/>
  <c r="K215" i="2"/>
  <c r="P214" i="2"/>
  <c r="R214" i="2" s="1"/>
  <c r="L214" i="2"/>
  <c r="K214" i="2"/>
  <c r="P213" i="2"/>
  <c r="R213" i="2" s="1"/>
  <c r="L213" i="2"/>
  <c r="K213" i="2"/>
  <c r="P212" i="2"/>
  <c r="R212" i="2" s="1"/>
  <c r="L212" i="2"/>
  <c r="K212" i="2"/>
  <c r="P211" i="2"/>
  <c r="R211" i="2" s="1"/>
  <c r="L211" i="2"/>
  <c r="K211" i="2"/>
  <c r="P210" i="2"/>
  <c r="R210" i="2" s="1"/>
  <c r="L210" i="2"/>
  <c r="K210" i="2"/>
  <c r="P209" i="2"/>
  <c r="R209" i="2" s="1"/>
  <c r="L209" i="2"/>
  <c r="K209" i="2"/>
  <c r="P208" i="2"/>
  <c r="R208" i="2" s="1"/>
  <c r="L208" i="2"/>
  <c r="K208" i="2"/>
  <c r="P207" i="2"/>
  <c r="R207" i="2" s="1"/>
  <c r="L207" i="2"/>
  <c r="K207" i="2"/>
  <c r="P206" i="2"/>
  <c r="R206" i="2" s="1"/>
  <c r="L206" i="2"/>
  <c r="K206" i="2"/>
  <c r="P205" i="2"/>
  <c r="R205" i="2" s="1"/>
  <c r="L205" i="2"/>
  <c r="K205" i="2"/>
  <c r="P204" i="2"/>
  <c r="R204" i="2" s="1"/>
  <c r="L204" i="2"/>
  <c r="K204" i="2"/>
  <c r="P203" i="2"/>
  <c r="R203" i="2" s="1"/>
  <c r="L203" i="2"/>
  <c r="K203" i="2"/>
  <c r="P202" i="2"/>
  <c r="R202" i="2" s="1"/>
  <c r="L202" i="2"/>
  <c r="K202" i="2"/>
  <c r="P201" i="2"/>
  <c r="R201" i="2" s="1"/>
  <c r="L201" i="2"/>
  <c r="K201" i="2"/>
  <c r="P200" i="2"/>
  <c r="R200" i="2" s="1"/>
  <c r="L200" i="2"/>
  <c r="K200" i="2"/>
  <c r="P199" i="2"/>
  <c r="R199" i="2" s="1"/>
  <c r="L199" i="2"/>
  <c r="K199" i="2"/>
  <c r="P198" i="2"/>
  <c r="R198" i="2" s="1"/>
  <c r="L198" i="2"/>
  <c r="K198" i="2"/>
  <c r="P197" i="2"/>
  <c r="R197" i="2" s="1"/>
  <c r="L197" i="2"/>
  <c r="K197" i="2"/>
  <c r="P196" i="2"/>
  <c r="R196" i="2" s="1"/>
  <c r="L196" i="2"/>
  <c r="K196" i="2"/>
  <c r="P195" i="2"/>
  <c r="R195" i="2" s="1"/>
  <c r="L195" i="2"/>
  <c r="K195" i="2"/>
  <c r="P194" i="2"/>
  <c r="R194" i="2" s="1"/>
  <c r="L194" i="2"/>
  <c r="K194" i="2"/>
  <c r="P193" i="2"/>
  <c r="R193" i="2" s="1"/>
  <c r="L193" i="2"/>
  <c r="K193" i="2"/>
  <c r="P192" i="2"/>
  <c r="R192" i="2" s="1"/>
  <c r="L192" i="2"/>
  <c r="K192" i="2"/>
  <c r="P191" i="2"/>
  <c r="R191" i="2" s="1"/>
  <c r="L191" i="2"/>
  <c r="K191" i="2"/>
  <c r="P190" i="2"/>
  <c r="R190" i="2" s="1"/>
  <c r="L190" i="2"/>
  <c r="K190" i="2"/>
  <c r="P189" i="2"/>
  <c r="R189" i="2" s="1"/>
  <c r="L189" i="2"/>
  <c r="K189" i="2"/>
  <c r="P188" i="2"/>
  <c r="R188" i="2" s="1"/>
  <c r="L188" i="2"/>
  <c r="K188" i="2"/>
  <c r="P187" i="2"/>
  <c r="R187" i="2" s="1"/>
  <c r="L187" i="2"/>
  <c r="K187" i="2"/>
  <c r="P186" i="2"/>
  <c r="R186" i="2" s="1"/>
  <c r="L186" i="2"/>
  <c r="K186" i="2"/>
  <c r="P185" i="2"/>
  <c r="R185" i="2" s="1"/>
  <c r="L185" i="2"/>
  <c r="K185" i="2"/>
  <c r="P184" i="2"/>
  <c r="R184" i="2" s="1"/>
  <c r="L184" i="2"/>
  <c r="K184" i="2"/>
  <c r="P183" i="2"/>
  <c r="R183" i="2" s="1"/>
  <c r="L183" i="2"/>
  <c r="K183" i="2"/>
  <c r="P182" i="2"/>
  <c r="R182" i="2" s="1"/>
  <c r="L182" i="2"/>
  <c r="K182" i="2"/>
  <c r="P181" i="2"/>
  <c r="R181" i="2" s="1"/>
  <c r="L181" i="2"/>
  <c r="K181" i="2"/>
  <c r="P180" i="2"/>
  <c r="R180" i="2" s="1"/>
  <c r="L180" i="2"/>
  <c r="K180" i="2"/>
  <c r="P179" i="2"/>
  <c r="R179" i="2" s="1"/>
  <c r="L179" i="2"/>
  <c r="K179" i="2"/>
  <c r="P178" i="2"/>
  <c r="R178" i="2" s="1"/>
  <c r="L178" i="2"/>
  <c r="K178" i="2"/>
  <c r="P177" i="2"/>
  <c r="R177" i="2" s="1"/>
  <c r="L177" i="2"/>
  <c r="K177" i="2"/>
  <c r="P176" i="2"/>
  <c r="R176" i="2" s="1"/>
  <c r="L176" i="2"/>
  <c r="K176" i="2"/>
  <c r="P175" i="2"/>
  <c r="R175" i="2" s="1"/>
  <c r="L175" i="2"/>
  <c r="K175" i="2"/>
  <c r="P174" i="2"/>
  <c r="R174" i="2" s="1"/>
  <c r="L174" i="2"/>
  <c r="K174" i="2"/>
  <c r="P173" i="2"/>
  <c r="R173" i="2" s="1"/>
  <c r="L173" i="2"/>
  <c r="K173" i="2"/>
  <c r="P172" i="2"/>
  <c r="R172" i="2" s="1"/>
  <c r="L172" i="2"/>
  <c r="K172" i="2"/>
  <c r="P171" i="2"/>
  <c r="R171" i="2" s="1"/>
  <c r="L171" i="2"/>
  <c r="K171" i="2"/>
  <c r="P170" i="2"/>
  <c r="R170" i="2" s="1"/>
  <c r="L170" i="2"/>
  <c r="K170" i="2"/>
  <c r="P169" i="2"/>
  <c r="R169" i="2" s="1"/>
  <c r="L169" i="2"/>
  <c r="K169" i="2"/>
  <c r="P168" i="2"/>
  <c r="R168" i="2" s="1"/>
  <c r="L168" i="2"/>
  <c r="K168" i="2"/>
  <c r="P167" i="2"/>
  <c r="R167" i="2" s="1"/>
  <c r="L167" i="2"/>
  <c r="K167" i="2"/>
  <c r="P166" i="2"/>
  <c r="R166" i="2" s="1"/>
  <c r="L166" i="2"/>
  <c r="K166" i="2"/>
  <c r="P165" i="2"/>
  <c r="R165" i="2" s="1"/>
  <c r="L165" i="2"/>
  <c r="K165" i="2"/>
  <c r="P164" i="2"/>
  <c r="R164" i="2" s="1"/>
  <c r="L164" i="2"/>
  <c r="K164" i="2"/>
  <c r="P163" i="2"/>
  <c r="R163" i="2" s="1"/>
  <c r="L163" i="2"/>
  <c r="K163" i="2"/>
  <c r="P162" i="2"/>
  <c r="R162" i="2" s="1"/>
  <c r="L162" i="2"/>
  <c r="K162" i="2"/>
  <c r="P161" i="2"/>
  <c r="R161" i="2" s="1"/>
  <c r="L161" i="2"/>
  <c r="K161" i="2"/>
  <c r="P160" i="2"/>
  <c r="R160" i="2" s="1"/>
  <c r="L160" i="2"/>
  <c r="K160" i="2"/>
  <c r="P159" i="2"/>
  <c r="R159" i="2" s="1"/>
  <c r="L159" i="2"/>
  <c r="K159" i="2"/>
  <c r="P158" i="2"/>
  <c r="R158" i="2" s="1"/>
  <c r="L158" i="2"/>
  <c r="K158" i="2"/>
  <c r="P157" i="2"/>
  <c r="R157" i="2" s="1"/>
  <c r="L157" i="2"/>
  <c r="K157" i="2"/>
  <c r="P156" i="2"/>
  <c r="R156" i="2" s="1"/>
  <c r="L156" i="2"/>
  <c r="K156" i="2"/>
  <c r="P155" i="2"/>
  <c r="R155" i="2" s="1"/>
  <c r="L155" i="2"/>
  <c r="K155" i="2"/>
  <c r="P154" i="2"/>
  <c r="R154" i="2" s="1"/>
  <c r="L154" i="2"/>
  <c r="K154" i="2"/>
  <c r="P153" i="2"/>
  <c r="R153" i="2" s="1"/>
  <c r="L153" i="2"/>
  <c r="K153" i="2"/>
  <c r="P152" i="2"/>
  <c r="R152" i="2" s="1"/>
  <c r="L152" i="2"/>
  <c r="K152" i="2"/>
  <c r="P151" i="2"/>
  <c r="R151" i="2" s="1"/>
  <c r="L151" i="2"/>
  <c r="K151" i="2"/>
  <c r="P150" i="2"/>
  <c r="R150" i="2" s="1"/>
  <c r="L150" i="2"/>
  <c r="K150" i="2"/>
  <c r="P149" i="2"/>
  <c r="R149" i="2" s="1"/>
  <c r="L149" i="2"/>
  <c r="K149" i="2"/>
  <c r="P148" i="2"/>
  <c r="R148" i="2" s="1"/>
  <c r="L148" i="2"/>
  <c r="K148" i="2"/>
  <c r="P147" i="2"/>
  <c r="R147" i="2" s="1"/>
  <c r="L147" i="2"/>
  <c r="K147" i="2"/>
  <c r="P146" i="2"/>
  <c r="R146" i="2" s="1"/>
  <c r="L146" i="2"/>
  <c r="K146" i="2"/>
  <c r="P145" i="2"/>
  <c r="R145" i="2" s="1"/>
  <c r="L145" i="2"/>
  <c r="K145" i="2"/>
  <c r="P144" i="2"/>
  <c r="R144" i="2" s="1"/>
  <c r="L144" i="2"/>
  <c r="K144" i="2"/>
  <c r="P143" i="2"/>
  <c r="R143" i="2" s="1"/>
  <c r="L143" i="2"/>
  <c r="K143" i="2"/>
  <c r="P142" i="2"/>
  <c r="R142" i="2" s="1"/>
  <c r="L142" i="2"/>
  <c r="K142" i="2"/>
  <c r="P141" i="2"/>
  <c r="R141" i="2" s="1"/>
  <c r="L141" i="2"/>
  <c r="K141" i="2"/>
  <c r="P140" i="2"/>
  <c r="R140" i="2" s="1"/>
  <c r="L140" i="2"/>
  <c r="K140" i="2"/>
  <c r="P139" i="2"/>
  <c r="R139" i="2" s="1"/>
  <c r="L139" i="2"/>
  <c r="K139" i="2"/>
  <c r="P138" i="2"/>
  <c r="R138" i="2" s="1"/>
  <c r="L138" i="2"/>
  <c r="K138" i="2"/>
  <c r="P137" i="2"/>
  <c r="R137" i="2" s="1"/>
  <c r="L137" i="2"/>
  <c r="K137" i="2"/>
  <c r="P136" i="2"/>
  <c r="R136" i="2" s="1"/>
  <c r="L136" i="2"/>
  <c r="K136" i="2"/>
  <c r="P135" i="2"/>
  <c r="R135" i="2" s="1"/>
  <c r="L135" i="2"/>
  <c r="K135" i="2"/>
  <c r="P134" i="2"/>
  <c r="R134" i="2" s="1"/>
  <c r="L134" i="2"/>
  <c r="K134" i="2"/>
  <c r="P133" i="2"/>
  <c r="R133" i="2" s="1"/>
  <c r="L133" i="2"/>
  <c r="K133" i="2"/>
  <c r="P132" i="2"/>
  <c r="R132" i="2" s="1"/>
  <c r="L132" i="2"/>
  <c r="K132" i="2"/>
  <c r="P131" i="2"/>
  <c r="R131" i="2" s="1"/>
  <c r="L131" i="2"/>
  <c r="K131" i="2"/>
  <c r="P130" i="2"/>
  <c r="R130" i="2" s="1"/>
  <c r="L130" i="2"/>
  <c r="K130" i="2"/>
  <c r="P129" i="2"/>
  <c r="R129" i="2" s="1"/>
  <c r="L129" i="2"/>
  <c r="K129" i="2"/>
  <c r="P128" i="2"/>
  <c r="R128" i="2" s="1"/>
  <c r="L128" i="2"/>
  <c r="K128" i="2"/>
  <c r="P127" i="2"/>
  <c r="R127" i="2" s="1"/>
  <c r="L127" i="2"/>
  <c r="K127" i="2"/>
  <c r="P126" i="2"/>
  <c r="R126" i="2" s="1"/>
  <c r="L126" i="2"/>
  <c r="K126" i="2"/>
  <c r="P125" i="2"/>
  <c r="R125" i="2" s="1"/>
  <c r="L125" i="2"/>
  <c r="K125" i="2"/>
  <c r="P124" i="2"/>
  <c r="R124" i="2" s="1"/>
  <c r="L124" i="2"/>
  <c r="K124" i="2"/>
  <c r="P123" i="2"/>
  <c r="R123" i="2" s="1"/>
  <c r="L123" i="2"/>
  <c r="K123" i="2"/>
  <c r="P122" i="2"/>
  <c r="R122" i="2" s="1"/>
  <c r="L122" i="2"/>
  <c r="K122" i="2"/>
  <c r="P121" i="2"/>
  <c r="R121" i="2" s="1"/>
  <c r="L121" i="2"/>
  <c r="K121" i="2"/>
  <c r="P120" i="2"/>
  <c r="R120" i="2" s="1"/>
  <c r="L120" i="2"/>
  <c r="K120" i="2"/>
  <c r="P119" i="2"/>
  <c r="R119" i="2" s="1"/>
  <c r="L119" i="2"/>
  <c r="K119" i="2"/>
  <c r="P118" i="2"/>
  <c r="R118" i="2" s="1"/>
  <c r="L118" i="2"/>
  <c r="K118" i="2"/>
  <c r="P117" i="2"/>
  <c r="R117" i="2" s="1"/>
  <c r="L117" i="2"/>
  <c r="K117" i="2"/>
  <c r="P116" i="2"/>
  <c r="R116" i="2" s="1"/>
  <c r="L116" i="2"/>
  <c r="K116" i="2"/>
  <c r="P115" i="2"/>
  <c r="R115" i="2" s="1"/>
  <c r="L115" i="2"/>
  <c r="K115" i="2"/>
  <c r="P114" i="2"/>
  <c r="R114" i="2" s="1"/>
  <c r="L114" i="2"/>
  <c r="K114" i="2"/>
  <c r="P113" i="2"/>
  <c r="R113" i="2" s="1"/>
  <c r="L113" i="2"/>
  <c r="K113" i="2"/>
  <c r="P112" i="2"/>
  <c r="R112" i="2" s="1"/>
  <c r="L112" i="2"/>
  <c r="K112" i="2"/>
  <c r="P111" i="2"/>
  <c r="R111" i="2" s="1"/>
  <c r="L111" i="2"/>
  <c r="K111" i="2"/>
  <c r="P110" i="2"/>
  <c r="R110" i="2" s="1"/>
  <c r="L110" i="2"/>
  <c r="K110" i="2"/>
  <c r="P109" i="2"/>
  <c r="R109" i="2" s="1"/>
  <c r="L109" i="2"/>
  <c r="K109" i="2"/>
  <c r="P108" i="2"/>
  <c r="R108" i="2" s="1"/>
  <c r="L108" i="2"/>
  <c r="K108" i="2"/>
  <c r="P107" i="2"/>
  <c r="R107" i="2" s="1"/>
  <c r="L107" i="2"/>
  <c r="K107" i="2"/>
  <c r="P106" i="2"/>
  <c r="R106" i="2" s="1"/>
  <c r="L106" i="2"/>
  <c r="K106" i="2"/>
  <c r="P105" i="2"/>
  <c r="R105" i="2" s="1"/>
  <c r="L105" i="2"/>
  <c r="K105" i="2"/>
  <c r="P104" i="2"/>
  <c r="R104" i="2" s="1"/>
  <c r="L104" i="2"/>
  <c r="K104" i="2"/>
  <c r="P103" i="2"/>
  <c r="R103" i="2" s="1"/>
  <c r="L103" i="2"/>
  <c r="K103" i="2"/>
  <c r="P102" i="2"/>
  <c r="R102" i="2" s="1"/>
  <c r="L102" i="2"/>
  <c r="K102" i="2"/>
  <c r="P101" i="2"/>
  <c r="R101" i="2" s="1"/>
  <c r="L101" i="2"/>
  <c r="K101" i="2"/>
  <c r="P100" i="2"/>
  <c r="R100" i="2" s="1"/>
  <c r="L100" i="2"/>
  <c r="K100" i="2"/>
  <c r="P99" i="2"/>
  <c r="R99" i="2" s="1"/>
  <c r="L99" i="2"/>
  <c r="K99" i="2"/>
  <c r="P98" i="2"/>
  <c r="R98" i="2" s="1"/>
  <c r="L98" i="2"/>
  <c r="K98" i="2"/>
  <c r="P97" i="2"/>
  <c r="R97" i="2" s="1"/>
  <c r="L97" i="2"/>
  <c r="K97" i="2"/>
  <c r="P96" i="2"/>
  <c r="R96" i="2" s="1"/>
  <c r="L96" i="2"/>
  <c r="K96" i="2"/>
  <c r="P95" i="2"/>
  <c r="R95" i="2" s="1"/>
  <c r="L95" i="2"/>
  <c r="K95" i="2"/>
  <c r="P94" i="2"/>
  <c r="R94" i="2" s="1"/>
  <c r="L94" i="2"/>
  <c r="K94" i="2"/>
  <c r="P93" i="2"/>
  <c r="R93" i="2" s="1"/>
  <c r="L93" i="2"/>
  <c r="K93" i="2"/>
  <c r="P92" i="2"/>
  <c r="R92" i="2" s="1"/>
  <c r="L92" i="2"/>
  <c r="K92" i="2"/>
  <c r="P91" i="2"/>
  <c r="R91" i="2" s="1"/>
  <c r="L91" i="2"/>
  <c r="K91" i="2"/>
  <c r="P90" i="2"/>
  <c r="R90" i="2" s="1"/>
  <c r="L90" i="2"/>
  <c r="K90" i="2"/>
  <c r="P89" i="2"/>
  <c r="R89" i="2" s="1"/>
  <c r="L89" i="2"/>
  <c r="K89" i="2"/>
  <c r="P88" i="2"/>
  <c r="R88" i="2" s="1"/>
  <c r="L88" i="2"/>
  <c r="K88" i="2"/>
  <c r="P87" i="2"/>
  <c r="R87" i="2" s="1"/>
  <c r="L87" i="2"/>
  <c r="K87" i="2"/>
  <c r="P86" i="2"/>
  <c r="R86" i="2" s="1"/>
  <c r="L86" i="2"/>
  <c r="K86" i="2"/>
  <c r="P85" i="2"/>
  <c r="R85" i="2" s="1"/>
  <c r="L85" i="2"/>
  <c r="K85" i="2"/>
  <c r="P84" i="2"/>
  <c r="R84" i="2" s="1"/>
  <c r="L84" i="2"/>
  <c r="K84" i="2"/>
  <c r="P83" i="2"/>
  <c r="R83" i="2" s="1"/>
  <c r="L83" i="2"/>
  <c r="K83" i="2"/>
  <c r="P82" i="2"/>
  <c r="R82" i="2" s="1"/>
  <c r="L82" i="2"/>
  <c r="K82" i="2"/>
  <c r="P81" i="2"/>
  <c r="R81" i="2" s="1"/>
  <c r="L81" i="2"/>
  <c r="K81" i="2"/>
  <c r="P80" i="2"/>
  <c r="R80" i="2" s="1"/>
  <c r="L80" i="2"/>
  <c r="K80" i="2"/>
  <c r="P79" i="2"/>
  <c r="R79" i="2" s="1"/>
  <c r="L79" i="2"/>
  <c r="K79" i="2"/>
  <c r="P78" i="2"/>
  <c r="R78" i="2" s="1"/>
  <c r="L78" i="2"/>
  <c r="K78" i="2"/>
  <c r="P77" i="2"/>
  <c r="R77" i="2" s="1"/>
  <c r="L77" i="2"/>
  <c r="K77" i="2"/>
  <c r="P76" i="2"/>
  <c r="R76" i="2" s="1"/>
  <c r="L76" i="2"/>
  <c r="K76" i="2"/>
  <c r="P75" i="2"/>
  <c r="R75" i="2" s="1"/>
  <c r="L75" i="2"/>
  <c r="K75" i="2"/>
  <c r="P74" i="2"/>
  <c r="R74" i="2" s="1"/>
  <c r="L74" i="2"/>
  <c r="K74" i="2"/>
  <c r="P73" i="2"/>
  <c r="R73" i="2" s="1"/>
  <c r="L73" i="2"/>
  <c r="K73" i="2"/>
  <c r="P72" i="2"/>
  <c r="R72" i="2" s="1"/>
  <c r="L72" i="2"/>
  <c r="K72" i="2"/>
  <c r="P71" i="2"/>
  <c r="R71" i="2" s="1"/>
  <c r="L71" i="2"/>
  <c r="K71" i="2"/>
  <c r="P70" i="2"/>
  <c r="R70" i="2" s="1"/>
  <c r="L70" i="2"/>
  <c r="K70" i="2"/>
  <c r="P69" i="2"/>
  <c r="R69" i="2" s="1"/>
  <c r="L69" i="2"/>
  <c r="K69" i="2"/>
  <c r="P68" i="2"/>
  <c r="R68" i="2" s="1"/>
  <c r="L68" i="2"/>
  <c r="K68" i="2"/>
  <c r="P67" i="2"/>
  <c r="R67" i="2" s="1"/>
  <c r="L67" i="2"/>
  <c r="K67" i="2"/>
  <c r="P66" i="2"/>
  <c r="R66" i="2" s="1"/>
  <c r="L66" i="2"/>
  <c r="K66" i="2"/>
  <c r="P65" i="2"/>
  <c r="R65" i="2" s="1"/>
  <c r="L65" i="2"/>
  <c r="K65" i="2"/>
  <c r="P64" i="2"/>
  <c r="R64" i="2" s="1"/>
  <c r="L64" i="2"/>
  <c r="K64" i="2"/>
  <c r="P63" i="2"/>
  <c r="R63" i="2" s="1"/>
  <c r="L63" i="2"/>
  <c r="K63" i="2"/>
  <c r="P62" i="2"/>
  <c r="R62" i="2" s="1"/>
  <c r="L62" i="2"/>
  <c r="K62" i="2"/>
  <c r="P61" i="2"/>
  <c r="R61" i="2" s="1"/>
  <c r="L61" i="2"/>
  <c r="K61" i="2"/>
  <c r="P60" i="2"/>
  <c r="R60" i="2" s="1"/>
  <c r="L60" i="2"/>
  <c r="K60" i="2"/>
  <c r="P59" i="2"/>
  <c r="R59" i="2" s="1"/>
  <c r="L59" i="2"/>
  <c r="K59" i="2"/>
  <c r="P58" i="2"/>
  <c r="R58" i="2" s="1"/>
  <c r="L58" i="2"/>
  <c r="K58" i="2"/>
  <c r="P57" i="2"/>
  <c r="R57" i="2" s="1"/>
  <c r="L57" i="2"/>
  <c r="K57" i="2"/>
  <c r="P56" i="2"/>
  <c r="R56" i="2" s="1"/>
  <c r="L56" i="2"/>
  <c r="K56" i="2"/>
  <c r="P55" i="2"/>
  <c r="R55" i="2" s="1"/>
  <c r="L55" i="2"/>
  <c r="K55" i="2"/>
  <c r="P54" i="2"/>
  <c r="R54" i="2" s="1"/>
  <c r="L54" i="2"/>
  <c r="K54" i="2"/>
  <c r="P53" i="2"/>
  <c r="R53" i="2" s="1"/>
  <c r="L53" i="2"/>
  <c r="K53" i="2"/>
  <c r="P52" i="2"/>
  <c r="R52" i="2" s="1"/>
  <c r="L52" i="2"/>
  <c r="K52" i="2"/>
  <c r="P51" i="2"/>
  <c r="R51" i="2" s="1"/>
  <c r="L51" i="2"/>
  <c r="K51" i="2"/>
  <c r="P50" i="2"/>
  <c r="R50" i="2" s="1"/>
  <c r="L50" i="2"/>
  <c r="K50" i="2"/>
  <c r="P49" i="2"/>
  <c r="R49" i="2" s="1"/>
  <c r="L49" i="2"/>
  <c r="K49" i="2"/>
  <c r="P48" i="2"/>
  <c r="R48" i="2" s="1"/>
  <c r="L48" i="2"/>
  <c r="K48" i="2"/>
  <c r="P47" i="2"/>
  <c r="R47" i="2" s="1"/>
  <c r="L47" i="2"/>
  <c r="K47" i="2"/>
  <c r="P46" i="2"/>
  <c r="R46" i="2" s="1"/>
  <c r="L46" i="2"/>
  <c r="K46" i="2"/>
  <c r="P45" i="2"/>
  <c r="R45" i="2" s="1"/>
  <c r="L45" i="2"/>
  <c r="K45" i="2"/>
  <c r="P44" i="2"/>
  <c r="R44" i="2" s="1"/>
  <c r="L44" i="2"/>
  <c r="K44" i="2"/>
  <c r="P43" i="2"/>
  <c r="R43" i="2" s="1"/>
  <c r="L43" i="2"/>
  <c r="K43" i="2"/>
  <c r="P42" i="2"/>
  <c r="R42" i="2" s="1"/>
  <c r="L42" i="2"/>
  <c r="K42" i="2"/>
  <c r="P41" i="2"/>
  <c r="R41" i="2" s="1"/>
  <c r="L41" i="2"/>
  <c r="K41" i="2"/>
  <c r="P40" i="2"/>
  <c r="R40" i="2" s="1"/>
  <c r="L40" i="2"/>
  <c r="K40" i="2"/>
  <c r="P39" i="2"/>
  <c r="R39" i="2" s="1"/>
  <c r="L39" i="2"/>
  <c r="K39" i="2"/>
  <c r="P38" i="2"/>
  <c r="R38" i="2" s="1"/>
  <c r="L38" i="2"/>
  <c r="K38" i="2"/>
  <c r="P37" i="2"/>
  <c r="R37" i="2" s="1"/>
  <c r="L37" i="2"/>
  <c r="K37" i="2"/>
  <c r="P36" i="2"/>
  <c r="R36" i="2" s="1"/>
  <c r="L36" i="2"/>
  <c r="K36" i="2"/>
  <c r="P35" i="2"/>
  <c r="R35" i="2" s="1"/>
  <c r="L35" i="2"/>
  <c r="K35" i="2"/>
  <c r="P34" i="2"/>
  <c r="R34" i="2" s="1"/>
  <c r="L34" i="2"/>
  <c r="K34" i="2"/>
  <c r="P33" i="2"/>
  <c r="R33" i="2" s="1"/>
  <c r="L33" i="2"/>
  <c r="K33" i="2"/>
  <c r="P32" i="2"/>
  <c r="R32" i="2" s="1"/>
  <c r="L32" i="2"/>
  <c r="K32" i="2"/>
  <c r="P31" i="2"/>
  <c r="R31" i="2" s="1"/>
  <c r="L31" i="2"/>
  <c r="K31" i="2"/>
  <c r="P30" i="2"/>
  <c r="R30" i="2" s="1"/>
  <c r="L30" i="2"/>
  <c r="K30" i="2"/>
  <c r="P29" i="2"/>
  <c r="R29" i="2" s="1"/>
  <c r="L29" i="2"/>
  <c r="K29" i="2"/>
  <c r="P28" i="2"/>
  <c r="R28" i="2" s="1"/>
  <c r="L28" i="2"/>
  <c r="K28" i="2"/>
  <c r="P27" i="2"/>
  <c r="R27" i="2" s="1"/>
  <c r="L27" i="2"/>
  <c r="K27" i="2"/>
  <c r="P26" i="2"/>
  <c r="R26" i="2" s="1"/>
  <c r="L26" i="2"/>
  <c r="K26" i="2"/>
  <c r="P25" i="2"/>
  <c r="R25" i="2" s="1"/>
  <c r="L25" i="2"/>
  <c r="K25" i="2"/>
  <c r="P24" i="2"/>
  <c r="R24" i="2" s="1"/>
  <c r="L24" i="2"/>
  <c r="K24" i="2"/>
  <c r="P23" i="2"/>
  <c r="R23" i="2" s="1"/>
  <c r="L23" i="2"/>
  <c r="K23" i="2"/>
  <c r="P22" i="2"/>
  <c r="R22" i="2" s="1"/>
  <c r="L22" i="2"/>
  <c r="K22" i="2"/>
  <c r="P21" i="2"/>
  <c r="R21" i="2" s="1"/>
  <c r="L21" i="2"/>
  <c r="K21" i="2"/>
  <c r="P20" i="2"/>
  <c r="R20" i="2" s="1"/>
  <c r="L20" i="2"/>
  <c r="K20" i="2"/>
  <c r="P19" i="2"/>
  <c r="R19" i="2" s="1"/>
  <c r="L19" i="2"/>
  <c r="K19" i="2"/>
  <c r="P18" i="2"/>
  <c r="R18" i="2" s="1"/>
  <c r="L18" i="2"/>
  <c r="K18" i="2"/>
  <c r="P17" i="2"/>
  <c r="R17" i="2" s="1"/>
  <c r="L17" i="2"/>
  <c r="K17" i="2"/>
  <c r="P16" i="2"/>
  <c r="R16" i="2" s="1"/>
  <c r="L16" i="2"/>
  <c r="K16" i="2"/>
  <c r="P15" i="2"/>
  <c r="R15" i="2" s="1"/>
  <c r="L15" i="2"/>
  <c r="K15" i="2"/>
  <c r="P14" i="2"/>
  <c r="R14" i="2" s="1"/>
  <c r="L14" i="2"/>
  <c r="K14" i="2"/>
  <c r="P13" i="2"/>
  <c r="R13" i="2" s="1"/>
  <c r="L13" i="2"/>
  <c r="K13" i="2"/>
  <c r="P12" i="2"/>
  <c r="R12" i="2" s="1"/>
  <c r="L12" i="2"/>
  <c r="K12" i="2"/>
  <c r="P11" i="2"/>
  <c r="R11" i="2" s="1"/>
  <c r="L11" i="2"/>
  <c r="K11" i="2"/>
  <c r="P10" i="2"/>
  <c r="R10" i="2" s="1"/>
  <c r="L10" i="2"/>
  <c r="K10" i="2"/>
  <c r="P9" i="2"/>
  <c r="R9" i="2" s="1"/>
  <c r="L9" i="2"/>
  <c r="K9" i="2"/>
  <c r="P8" i="2"/>
  <c r="R8" i="2" s="1"/>
  <c r="L8" i="2"/>
  <c r="K8" i="2"/>
  <c r="P7" i="2"/>
  <c r="R7" i="2" s="1"/>
  <c r="L7" i="2"/>
  <c r="K7" i="2"/>
  <c r="P6" i="2"/>
  <c r="R6" i="2" s="1"/>
  <c r="L6" i="2"/>
  <c r="K6" i="2"/>
  <c r="P5" i="2"/>
  <c r="R5" i="2" s="1"/>
  <c r="L5" i="2"/>
  <c r="K5" i="2"/>
  <c r="P4" i="2"/>
  <c r="R4" i="2" s="1"/>
  <c r="L4" i="2"/>
  <c r="K4" i="2"/>
  <c r="P3" i="2"/>
  <c r="R3" i="2" s="1"/>
  <c r="L3" i="2"/>
  <c r="K3" i="2"/>
  <c r="P2" i="2"/>
  <c r="R2" i="2" s="1"/>
  <c r="L2" i="2"/>
  <c r="K2" i="2"/>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sharedStrings.xml><?xml version="1.0" encoding="utf-8"?>
<sst xmlns="http://schemas.openxmlformats.org/spreadsheetml/2006/main" count="3546" uniqueCount="180">
  <si>
    <t>Product ID</t>
  </si>
  <si>
    <t>Product Category</t>
  </si>
  <si>
    <t>Product Subcategory</t>
  </si>
  <si>
    <t>Product Name</t>
  </si>
  <si>
    <t>Order Date</t>
  </si>
  <si>
    <t>Month</t>
  </si>
  <si>
    <t>Year</t>
  </si>
  <si>
    <t>Wholesale Price</t>
  </si>
  <si>
    <t>Retail Price</t>
  </si>
  <si>
    <t>Order Quantity</t>
  </si>
  <si>
    <t xml:space="preserve"> Total (Before Tax)</t>
  </si>
  <si>
    <t>Tax Due</t>
  </si>
  <si>
    <t>Order Total</t>
  </si>
  <si>
    <t>Payment Method</t>
  </si>
  <si>
    <t>Order Status</t>
  </si>
  <si>
    <t>Order ID</t>
  </si>
  <si>
    <t>Customer ID</t>
  </si>
  <si>
    <t>Product Description</t>
  </si>
  <si>
    <t>Product Size</t>
  </si>
  <si>
    <t>Product Weight</t>
  </si>
  <si>
    <t>MOUNTAIN BIKES</t>
  </si>
  <si>
    <t>Cross Country</t>
  </si>
  <si>
    <t>TrailBlazer 1000</t>
  </si>
  <si>
    <t>Credit Card</t>
  </si>
  <si>
    <t>Shipped</t>
  </si>
  <si>
    <t>Lightweight and versatile</t>
  </si>
  <si>
    <t>M</t>
  </si>
  <si>
    <t>TrailBlazer 2000</t>
  </si>
  <si>
    <t>PayPal</t>
  </si>
  <si>
    <t>Processing</t>
  </si>
  <si>
    <t>High-performance mountain bike</t>
  </si>
  <si>
    <t>L</t>
  </si>
  <si>
    <t>ROAD BIKES</t>
  </si>
  <si>
    <t>Racing</t>
  </si>
  <si>
    <t>SpeedMaster 1000</t>
  </si>
  <si>
    <t>Cancelled</t>
  </si>
  <si>
    <t>Agile and aerodynamic road bike</t>
  </si>
  <si>
    <t>% Increase</t>
  </si>
  <si>
    <t>SpeedMaster 2000</t>
  </si>
  <si>
    <t>Premium racing road bike</t>
  </si>
  <si>
    <t>TOURING BIKES</t>
  </si>
  <si>
    <t>Long Distance</t>
  </si>
  <si>
    <t>Explorer 1000</t>
  </si>
  <si>
    <t>Comfortable and durable touring bike</t>
  </si>
  <si>
    <t>Explorer 2000</t>
  </si>
  <si>
    <t>Advanced touring bike</t>
  </si>
  <si>
    <t>Downhill</t>
  </si>
  <si>
    <t>GravityMaster 1000</t>
  </si>
  <si>
    <t>Rugged and durable downhill bike</t>
  </si>
  <si>
    <t>GravityMaster 2000</t>
  </si>
  <si>
    <t>Extreme downhill performance</t>
  </si>
  <si>
    <t>Trail</t>
  </si>
  <si>
    <t>Pathfinder 1000</t>
  </si>
  <si>
    <t>Agile trail bike for all skill levels</t>
  </si>
  <si>
    <t>Pathfinder 2000</t>
  </si>
  <si>
    <t>High-performance trail bike</t>
  </si>
  <si>
    <t>January</t>
  </si>
  <si>
    <t>Touring</t>
  </si>
  <si>
    <t>Voyager 1000</t>
  </si>
  <si>
    <t>Comfortable touring road bike</t>
  </si>
  <si>
    <t>February</t>
  </si>
  <si>
    <t>Voyager 2000</t>
  </si>
  <si>
    <t>Advanced touring road bike</t>
  </si>
  <si>
    <t>March</t>
  </si>
  <si>
    <t>Adventure</t>
  </si>
  <si>
    <t>Adventurer 1000</t>
  </si>
  <si>
    <t>Durable bike for long adventures</t>
  </si>
  <si>
    <t>Adventurer 2000</t>
  </si>
  <si>
    <t>Premium adventure touring bike</t>
  </si>
  <si>
    <t>Enduro</t>
  </si>
  <si>
    <t>EnduroMaster 1000</t>
  </si>
  <si>
    <t>Endurance-focused mountain bike</t>
  </si>
  <si>
    <t>EnduroMaster 2000</t>
  </si>
  <si>
    <t>High-performance enduro mountain bike</t>
  </si>
  <si>
    <t>Fat Bikes</t>
  </si>
  <si>
    <t>FatTrail 1000</t>
  </si>
  <si>
    <t>All-terrain fat bike</t>
  </si>
  <si>
    <t>FatTrail 2000</t>
  </si>
  <si>
    <t>High-performance fat bike</t>
  </si>
  <si>
    <t>Cyclocross</t>
  </si>
  <si>
    <t>CrossRider 1000</t>
  </si>
  <si>
    <t>Versatile cyclocross bike</t>
  </si>
  <si>
    <t>CrossRider 2000</t>
  </si>
  <si>
    <t>Advanced cyclocross bike</t>
  </si>
  <si>
    <t>Tandem</t>
  </si>
  <si>
    <t>DuoExplorer 1000</t>
  </si>
  <si>
    <t>Comfortable tandem touring bike</t>
  </si>
  <si>
    <t>DuoExplorer 2000</t>
  </si>
  <si>
    <t>High-performance tandem touring bike</t>
  </si>
  <si>
    <t>Electric</t>
  </si>
  <si>
    <t>E-Mountain 1000</t>
  </si>
  <si>
    <t>Electric mountain bike</t>
  </si>
  <si>
    <t>E-Mountain 2000</t>
  </si>
  <si>
    <t>High-performance electric mountain bike</t>
  </si>
  <si>
    <t>E-BIKES</t>
  </si>
  <si>
    <t>City</t>
  </si>
  <si>
    <t>UrbanEco 1000</t>
  </si>
  <si>
    <t>Eco-friendly electric city bike</t>
  </si>
  <si>
    <t>UrbanEco 2000</t>
  </si>
  <si>
    <t>High-performance electric city bike</t>
  </si>
  <si>
    <t>Gravel</t>
  </si>
  <si>
    <t>GravelMaster 1000</t>
  </si>
  <si>
    <t>All-terrain gravel bike</t>
  </si>
  <si>
    <t>GravelMaster 2000</t>
  </si>
  <si>
    <t>High-performance gravel bike</t>
  </si>
  <si>
    <t>Folding</t>
  </si>
  <si>
    <t>FoldAway 1000</t>
  </si>
  <si>
    <t>Compact folding touring bike</t>
  </si>
  <si>
    <t>FoldAway 2000</t>
  </si>
  <si>
    <t>Advanced folding touring bike</t>
  </si>
  <si>
    <t>Mountain</t>
  </si>
  <si>
    <t>E-TrailBlazer 1000</t>
  </si>
  <si>
    <t>E-TrailBlazer 2000</t>
  </si>
  <si>
    <t>HYBRID BIKES</t>
  </si>
  <si>
    <t>Commuter</t>
  </si>
  <si>
    <t>CommutePro 1000</t>
  </si>
  <si>
    <t>Efficient commuter hybrid bike</t>
  </si>
  <si>
    <t>CommutePro 2000</t>
  </si>
  <si>
    <t>High-performance commuter hybrid bike</t>
  </si>
  <si>
    <t>Aero</t>
  </si>
  <si>
    <t>AeroSpeed 1000</t>
  </si>
  <si>
    <t>Aerodynamic road bike</t>
  </si>
  <si>
    <t>AeroSpeed 2000</t>
  </si>
  <si>
    <t>Advanced aerodynamic road bike</t>
  </si>
  <si>
    <t>Recumbent</t>
  </si>
  <si>
    <t>ReclineRider 1000</t>
  </si>
  <si>
    <t>Comfortable recumbent touring bike</t>
  </si>
  <si>
    <t>ReclineRider 2000</t>
  </si>
  <si>
    <t>High-performance recumbent touring bike</t>
  </si>
  <si>
    <t>DownhillDominator 1000</t>
  </si>
  <si>
    <t>Downhill mountain bike</t>
  </si>
  <si>
    <t>DownhillDominator 2000</t>
  </si>
  <si>
    <t>High-performance downhill mountain bike</t>
  </si>
  <si>
    <t>KIDS BIKES</t>
  </si>
  <si>
    <t>Balance</t>
  </si>
  <si>
    <t>LittleBalancer 1000</t>
  </si>
  <si>
    <t>Starter balance bike for kids</t>
  </si>
  <si>
    <t>LittleBalancer 2000</t>
  </si>
  <si>
    <t>Upgraded balance bike for kids</t>
  </si>
  <si>
    <t>BMX BIKES</t>
  </si>
  <si>
    <t>Freestyle</t>
  </si>
  <si>
    <t>FreestyleMaster 1000</t>
  </si>
  <si>
    <t>Beginner freestyle BMX bike</t>
  </si>
  <si>
    <t>FreestyleMaster 2000</t>
  </si>
  <si>
    <t>Advanced freestyle BMX bike</t>
  </si>
  <si>
    <t>XC-Rider 1000</t>
  </si>
  <si>
    <t>Cross country mountain bike</t>
  </si>
  <si>
    <t>XC-Rider 2000</t>
  </si>
  <si>
    <t>High-performance cross country bike</t>
  </si>
  <si>
    <t>Endurance</t>
  </si>
  <si>
    <t>EnduranceElite 1000</t>
  </si>
  <si>
    <t>Endurance road bike</t>
  </si>
  <si>
    <t>EnduranceElite 2000</t>
  </si>
  <si>
    <t>High-performance endurance road bike</t>
  </si>
  <si>
    <t>long Distance</t>
  </si>
  <si>
    <t>Q1 2022 &amp; 2023</t>
  </si>
  <si>
    <t>Count of Customer ID &amp; order</t>
  </si>
  <si>
    <t>Most Used Payment Method</t>
  </si>
  <si>
    <t>Order fulfilment</t>
  </si>
  <si>
    <t>Count of Order ID</t>
  </si>
  <si>
    <t>Customers</t>
  </si>
  <si>
    <t>Count of Payment Method</t>
  </si>
  <si>
    <t>Grand Total</t>
  </si>
  <si>
    <t>Sales by Month</t>
  </si>
  <si>
    <t>TOP 10 P. Category</t>
  </si>
  <si>
    <t>Sum of  Total (Before Tax)</t>
  </si>
  <si>
    <t>Jan</t>
  </si>
  <si>
    <t>Feb</t>
  </si>
  <si>
    <t>Mar</t>
  </si>
  <si>
    <t>2022 Total</t>
  </si>
  <si>
    <t>Values</t>
  </si>
  <si>
    <t>Wholesale Price (sum)</t>
  </si>
  <si>
    <t>Retail Price (Sum)</t>
  </si>
  <si>
    <t>Order by Month</t>
  </si>
  <si>
    <t>Top 10 Customer</t>
  </si>
  <si>
    <t>Average of  Total (Before Tax)</t>
  </si>
  <si>
    <t>% Increase by month</t>
  </si>
  <si>
    <t>Sum of Profit</t>
  </si>
  <si>
    <t>Profit</t>
  </si>
  <si>
    <t>2023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</si>
</sst>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quot;#,##0.00_);[Red]\(&quot;$&quot;#,##0.00\)"/>
    <numFmt numFmtId="44" formatCode="_(&quot;$&quot;* #,##0.00_);_(&quot;$&quot;* \(#,##0.00\);_(&quot;$&quot;* &quot;-&quot;??_);_(@_)"/>
    <numFmt numFmtId="164" formatCode="_-* #,##0.00_-;\-* #,##0.00_-;_-* &quot;-&quot;??_-;_-@_-"/>
    <numFmt numFmtId="165" formatCode="_-* #,##0_-;\-* #,##0_-;_-* &quot;-&quot;??_-;_-@_-"/>
    <numFmt numFmtId="166" formatCode="_-[$$-409]* #,##0_ ;_-[$$-409]* \-#,##0\ ;_-[$$-409]* &quot;-&quot;??_ ;_-@_ "/>
    <numFmt numFmtId="167" formatCode="mm/dd/yy;@"/>
    <numFmt numFmtId="168" formatCode="_(&quot;$&quot;* #,##0_);_(&quot;$&quot;* \(#,##0\);_(&quot;$&quot;* &quot;-&quot;??_);_(@_)"/>
  </numFmts>
  <fonts count="7">
    <font>
      <sz val="11"/>
      <color theme="1"/>
      <name val="Calibri"/>
      <charset val="134"/>
      <scheme val="minor"/>
    </font>
    <font>
      <b/>
      <sz val="11"/>
      <color rgb="FFFFFFFF"/>
      <name val="Rockwell Extra Bold"/>
      <family val="1"/>
    </font>
    <font>
      <b/>
      <sz val="20"/>
      <color theme="1"/>
      <name val="Calibri"/>
      <family val="2"/>
      <scheme val="minor"/>
    </font>
    <font>
      <b/>
      <sz val="11"/>
      <color theme="1"/>
      <name val="Calibri"/>
      <family val="2"/>
      <scheme val="minor"/>
    </font>
    <font>
      <i/>
      <sz val="11"/>
      <color theme="1"/>
      <name val="Calibri"/>
      <family val="2"/>
      <scheme val="minor"/>
    </font>
    <font>
      <sz val="11"/>
      <color theme="1"/>
      <name val="Calibri"/>
      <family val="2"/>
    </font>
    <font>
      <sz val="11"/>
      <color theme="1"/>
      <name val="Calibri"/>
      <family val="2"/>
      <scheme val="minor"/>
    </font>
  </fonts>
  <fills count="8">
    <fill>
      <patternFill patternType="none"/>
    </fill>
    <fill>
      <patternFill patternType="gray125"/>
    </fill>
    <fill>
      <patternFill patternType="solid">
        <fgColor rgb="FF663300"/>
        <bgColor indexed="64"/>
      </patternFill>
    </fill>
    <fill>
      <patternFill patternType="solid">
        <fgColor rgb="FFFFC000"/>
        <bgColor indexed="64"/>
      </patternFill>
    </fill>
    <fill>
      <patternFill patternType="solid">
        <fgColor theme="7"/>
        <bgColor indexed="64"/>
      </patternFill>
    </fill>
    <fill>
      <patternFill patternType="solid">
        <fgColor theme="7" tint="0.79989013336588644"/>
        <bgColor indexed="64"/>
      </patternFill>
    </fill>
    <fill>
      <patternFill patternType="solid">
        <fgColor theme="8" tint="0.59999389629810485"/>
        <bgColor indexed="64"/>
      </patternFill>
    </fill>
    <fill>
      <patternFill patternType="solid">
        <fgColor theme="9"/>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3">
    <xf numFmtId="0" fontId="0" fillId="0" borderId="0"/>
    <xf numFmtId="164" fontId="6" fillId="0" borderId="0" applyFont="0" applyFill="0" applyBorder="0" applyAlignment="0" applyProtection="0"/>
    <xf numFmtId="44" fontId="6" fillId="0" borderId="0" applyFont="0" applyFill="0" applyBorder="0" applyAlignment="0" applyProtection="0">
      <alignment vertical="center"/>
    </xf>
  </cellStyleXfs>
  <cellXfs count="35">
    <xf numFmtId="0" fontId="0" fillId="0" borderId="0" xfId="0"/>
    <xf numFmtId="0" fontId="0" fillId="2" borderId="0" xfId="0" applyFill="1"/>
    <xf numFmtId="44" fontId="0" fillId="2" borderId="0" xfId="0" applyNumberFormat="1" applyFill="1"/>
    <xf numFmtId="0" fontId="1" fillId="2" borderId="0" xfId="0" applyFont="1" applyFill="1" applyAlignment="1">
      <alignment horizontal="center"/>
    </xf>
    <xf numFmtId="0" fontId="3" fillId="3" borderId="0" xfId="0" applyFont="1" applyFill="1"/>
    <xf numFmtId="0" fontId="0" fillId="3" borderId="0" xfId="0" applyFill="1"/>
    <xf numFmtId="0" fontId="3" fillId="3" borderId="0" xfId="0" applyFont="1" applyFill="1" applyAlignment="1">
      <alignment horizontal="centerContinuous"/>
    </xf>
    <xf numFmtId="0" fontId="0" fillId="3" borderId="0" xfId="0" applyFill="1" applyAlignment="1">
      <alignment horizontal="centerContinuous"/>
    </xf>
    <xf numFmtId="0" fontId="3" fillId="0" borderId="1" xfId="0" applyFont="1" applyBorder="1"/>
    <xf numFmtId="0" fontId="0" fillId="4" borderId="0" xfId="0" applyFill="1"/>
    <xf numFmtId="10" fontId="0" fillId="0" borderId="0" xfId="0" applyNumberFormat="1"/>
    <xf numFmtId="0" fontId="4" fillId="0" borderId="0" xfId="0" applyFont="1"/>
    <xf numFmtId="44" fontId="0" fillId="0" borderId="0" xfId="0" applyNumberFormat="1"/>
    <xf numFmtId="44" fontId="4" fillId="0" borderId="0" xfId="0" applyNumberFormat="1" applyFont="1"/>
    <xf numFmtId="165" fontId="0" fillId="0" borderId="0" xfId="0" applyNumberFormat="1"/>
    <xf numFmtId="8" fontId="0" fillId="0" borderId="0" xfId="0" applyNumberFormat="1"/>
    <xf numFmtId="44" fontId="0" fillId="0" borderId="0" xfId="2" applyFont="1" applyAlignment="1"/>
    <xf numFmtId="0" fontId="3" fillId="0" borderId="0" xfId="0" applyFont="1" applyAlignment="1">
      <alignment horizontal="center" vertical="top" wrapText="1"/>
    </xf>
    <xf numFmtId="0" fontId="0" fillId="0" borderId="0" xfId="0" applyAlignment="1">
      <alignment horizontal="center" vertical="center"/>
    </xf>
    <xf numFmtId="166" fontId="0" fillId="0" borderId="0" xfId="0" applyNumberFormat="1"/>
    <xf numFmtId="10" fontId="0" fillId="0" borderId="0" xfId="0" applyNumberFormat="1" applyAlignment="1">
      <alignment horizontal="center" vertical="center"/>
    </xf>
    <xf numFmtId="167" fontId="0" fillId="0" borderId="0" xfId="0" applyNumberFormat="1"/>
    <xf numFmtId="44" fontId="3" fillId="0" borderId="0" xfId="2" applyFont="1" applyFill="1" applyAlignment="1">
      <alignment horizontal="center" vertical="top" wrapText="1"/>
    </xf>
    <xf numFmtId="165" fontId="0" fillId="0" borderId="0" xfId="1" applyNumberFormat="1" applyFont="1"/>
    <xf numFmtId="165" fontId="5" fillId="0" borderId="0" xfId="0" applyNumberFormat="1" applyFont="1"/>
    <xf numFmtId="44" fontId="5" fillId="0" borderId="0" xfId="2" applyFont="1" applyAlignment="1"/>
    <xf numFmtId="0" fontId="3" fillId="5" borderId="0" xfId="0" applyFont="1" applyFill="1" applyAlignment="1">
      <alignment horizontal="center" vertical="top" wrapText="1"/>
    </xf>
    <xf numFmtId="0" fontId="3" fillId="6" borderId="0" xfId="0" applyFont="1" applyFill="1" applyAlignment="1">
      <alignment horizontal="center" vertical="top" wrapText="1"/>
    </xf>
    <xf numFmtId="0" fontId="0" fillId="0" borderId="0" xfId="0" pivotButton="1"/>
    <xf numFmtId="0" fontId="4" fillId="0" borderId="0" xfId="0" pivotButton="1" applyFont="1"/>
    <xf numFmtId="168" fontId="0" fillId="0" borderId="0" xfId="0" applyNumberFormat="1"/>
    <xf numFmtId="0" fontId="2" fillId="3" borderId="0" xfId="0" applyFont="1" applyFill="1" applyAlignment="1">
      <alignment horizontal="center"/>
    </xf>
    <xf numFmtId="0" fontId="3" fillId="3" borderId="0" xfId="0" applyFont="1" applyFill="1" applyAlignment="1">
      <alignment horizontal="center"/>
    </xf>
    <xf numFmtId="0" fontId="0" fillId="0" borderId="0" xfId="0" applyNumberFormat="1"/>
    <xf numFmtId="165" fontId="0" fillId="7" borderId="0" xfId="0" applyNumberFormat="1" applyFill="1" applyBorder="1"/>
  </cellXfs>
  <cellStyles count="3">
    <cellStyle name="Comma" xfId="1" builtinId="3"/>
    <cellStyle name="Currency" xfId="2" builtinId="4"/>
    <cellStyle name="Normal" xfId="0" builtinId="0"/>
  </cellStyles>
  <dxfs count="1533">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i/>
      </font>
    </dxf>
    <dxf>
      <font>
        <i/>
      </font>
    </dxf>
    <dxf>
      <font>
        <i/>
      </font>
    </dxf>
    <dxf>
      <font>
        <i/>
      </font>
    </dxf>
    <dxf>
      <numFmt numFmtId="165" formatCode="_-* #,##0_-;\-* #,##0_-;_-* &quot;-&quot;??_-;_-@_-"/>
    </dxf>
    <dxf>
      <numFmt numFmtId="14" formatCode="0.00%"/>
    </dxf>
    <dxf>
      <font>
        <i/>
      </font>
    </dxf>
    <dxf>
      <font>
        <i/>
      </font>
    </dxf>
    <dxf>
      <numFmt numFmtId="165" formatCode="_-* #,##0_-;\-* #,##0_-;_-* &quot;-&quot;??_-;_-@_-"/>
    </dxf>
    <dxf>
      <font>
        <i/>
      </font>
    </dxf>
    <dxf>
      <font>
        <i/>
      </font>
    </dxf>
    <dxf>
      <numFmt numFmtId="165" formatCode="_-* #,##0_-;\-* #,##0_-;_-* &quot;-&quot;??_-;_-@_-"/>
    </dxf>
    <dxf>
      <font>
        <i/>
      </font>
    </dxf>
    <dxf>
      <font>
        <i/>
      </font>
    </dxf>
    <dxf>
      <numFmt numFmtId="14" formatCode="0.00%"/>
    </dxf>
    <dxf>
      <font>
        <i/>
      </font>
    </dxf>
    <dxf>
      <font>
        <i/>
      </font>
    </dxf>
    <dxf>
      <numFmt numFmtId="165" formatCode="_-* #,##0_-;\-* #,##0_-;_-* &quot;-&quot;??_-;_-@_-"/>
    </dxf>
    <dxf>
      <fill>
        <patternFill patternType="solid">
          <bgColor theme="9"/>
        </patternFill>
      </fill>
    </dxf>
    <dxf>
      <border>
        <top/>
      </border>
    </dxf>
    <dxf>
      <border>
        <top/>
      </border>
    </dxf>
    <dxf>
      <numFmt numFmtId="169" formatCode="&quot;$&quot;#,##0.00"/>
    </dxf>
    <dxf>
      <numFmt numFmtId="14" formatCode="0.00%"/>
    </dxf>
    <dxf>
      <numFmt numFmtId="14" formatCode="0.00%"/>
    </dxf>
    <dxf>
      <numFmt numFmtId="0" formatCode="General"/>
    </dxf>
    <dxf>
      <numFmt numFmtId="0" formatCode="General"/>
    </dxf>
    <dxf>
      <numFmt numFmtId="170" formatCode="0.0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71" formatCode="0.00000_ "/>
    </dxf>
    <dxf>
      <numFmt numFmtId="172" formatCode="0.0000_ "/>
    </dxf>
    <dxf>
      <numFmt numFmtId="12" formatCode="&quot;$&quot;#,##0.00_);[Red]\(&quot;$&quot;#,##0.00\)"/>
    </dxf>
    <dxf>
      <font>
        <i/>
      </font>
    </dxf>
    <dxf>
      <font>
        <i/>
      </font>
    </dxf>
    <dxf>
      <font>
        <i/>
      </font>
    </dxf>
    <dxf>
      <font>
        <i/>
      </font>
    </dxf>
    <dxf>
      <font>
        <i/>
      </font>
    </dxf>
    <dxf>
      <font>
        <i/>
      </font>
    </dxf>
    <dxf>
      <numFmt numFmtId="168" formatCode="_(&quot;$&quot;* #,##0_);_(&quot;$&quot;* \(#,##0\);_(&quot;$&quot;* &quot;-&quot;??_);_(@_)"/>
    </dxf>
    <dxf>
      <numFmt numFmtId="168" formatCode="_(&quot;$&quot;* #,##0_);_(&quot;$&quot;* \(#,##0\);_(&quot;$&quot;* &quot;-&quot;??_);_(@_)"/>
    </dxf>
    <dxf>
      <numFmt numFmtId="168" formatCode="_(&quot;$&quot;* #,##0_);_(&quot;$&quot;* \(#,##0\);_(&quot;$&quot;* &quot;-&quot;??_);_(@_)"/>
    </dxf>
    <dxf>
      <numFmt numFmtId="34" formatCode="_(&quot;$&quot;* #,##0.00_);_(&quot;$&quot;* \(#,##0.00\);_(&quot;$&quot;* &quot;-&quot;??_);_(@_)"/>
    </dxf>
    <dxf>
      <font>
        <b val="0"/>
        <i val="0"/>
        <strike val="0"/>
        <u val="none"/>
        <sz val="11"/>
        <color theme="1"/>
        <name val="Calibri"/>
        <scheme val="none"/>
      </font>
      <numFmt numFmtId="165" formatCode="_-* #,##0_-;\-* #,##0_-;_-* &quot;-&quot;??_-;_-@_-"/>
    </dxf>
    <dxf>
      <font>
        <b val="0"/>
        <i val="0"/>
        <strike val="0"/>
        <u val="none"/>
        <sz val="11"/>
        <color theme="1"/>
        <name val="Calibri"/>
        <scheme val="none"/>
      </font>
      <numFmt numFmtId="165" formatCode="_-* #,##0_-;\-* #,##0_-;_-* &quot;-&quot;??_-;_-@_-"/>
    </dxf>
    <dxf>
      <font>
        <b val="0"/>
        <i val="0"/>
        <strike val="0"/>
        <u val="none"/>
        <sz val="11"/>
        <color theme="1"/>
        <name val="Calibri"/>
        <scheme val="none"/>
      </font>
    </dxf>
    <dxf>
      <font>
        <b val="0"/>
        <i val="0"/>
        <strike val="0"/>
        <u val="none"/>
        <sz val="11"/>
        <color theme="1"/>
        <name val="Calibri"/>
        <scheme val="none"/>
      </font>
      <numFmt numFmtId="165" formatCode="_-* #,##0_-;\-* #,##0_-;_-* &quot;-&quot;??_-;_-@_-"/>
    </dxf>
    <dxf>
      <font>
        <b val="0"/>
        <i val="0"/>
        <strike val="0"/>
        <u val="none"/>
        <sz val="11"/>
        <color theme="1"/>
        <name val="Calibri"/>
        <scheme val="none"/>
      </font>
      <numFmt numFmtId="165" formatCode="_-* #,##0_-;\-* #,##0_-;_-* &quot;-&quot;??_-;_-@_-"/>
    </dxf>
    <dxf>
      <numFmt numFmtId="167" formatCode="mm/dd/yy;@"/>
    </dxf>
    <dxf>
      <numFmt numFmtId="167" formatCode="mm/dd/yy;@"/>
    </dxf>
    <dxf>
      <fill>
        <gradientFill degree="270">
          <stop position="0">
            <color rgb="FF663300"/>
          </stop>
          <stop position="1">
            <color theme="5" tint="0.59999389629810485"/>
          </stop>
        </gradientFill>
      </fill>
    </dxf>
  </dxfs>
  <tableStyles count="1" defaultTableStyle="TableStyleMedium2" defaultPivotStyle="PivotStyleLight16">
    <tableStyle name="Slicer Style 1" pivot="0" table="0" count="1" xr9:uid="{AEB859EB-8D0D-4540-ACA2-97D7291B4D17}">
      <tableStyleElement type="wholeTable" dxfId="1532"/>
    </tableStyle>
  </tableStyles>
  <colors>
    <mruColors>
      <color rgb="FF66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[Bike sales data WELLDONE.xlsx]Analysis!PivotTable8</c:name>
    <c:fmtId val="2"/>
  </c:pivotSource>
  <c:chart>
    <c:title>
      <c:tx>
        <c:rich>
          <a:bodyPr rot="0" spcFirstLastPara="0" vertOverflow="ellipsis" vert="horz" wrap="square" anchor="ctr" anchorCtr="1"/>
          <a:lstStyle/>
          <a:p>
            <a:pPr>
              <a:defRPr lang="en-US" sz="1200" b="1" i="0" u="none" strike="noStrike" kern="1200" baseline="0">
                <a:solidFill>
                  <a:schemeClr val="lt1"/>
                </a:solidFill>
                <a:latin typeface="+mn-lt"/>
                <a:ea typeface="+mn-ea"/>
                <a:cs typeface="+mn-cs"/>
              </a:defRPr>
            </a:pPr>
            <a:r>
              <a:rPr lang="en-US" sz="1200">
                <a:latin typeface="Rockwell Extra Bold" panose="02060903040505020403" pitchFamily="18" charset="0"/>
              </a:rPr>
              <a:t>Order By Month</a:t>
            </a:r>
          </a:p>
        </c:rich>
      </c:tx>
      <c:overlay val="0"/>
      <c:spPr>
        <a:solidFill>
          <a:srgbClr val="663300"/>
        </a:solidFill>
      </c:spPr>
    </c:title>
    <c:autoTitleDeleted val="0"/>
    <c:pivotFmts>
      <c:pivotFmt>
        <c:idx val="0"/>
        <c:spPr>
          <a:solidFill>
            <a:srgbClr val="663300"/>
          </a:solidFill>
          <a:scene3d>
            <a:camera prst="orthographicFront"/>
            <a:lightRig rig="threePt" dir="t"/>
          </a:scene3d>
          <a:sp3d>
            <a:bevelT w="139700" h="139700" prst="divot"/>
          </a:sp3d>
        </c:spPr>
        <c:marker>
          <c:symbol val="none"/>
        </c:marker>
        <c:dLbl>
          <c:idx val="0"/>
          <c:spPr>
            <a:solidFill>
              <a:schemeClr val="tx1"/>
            </a:solid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Analysis!$C$26</c:f>
              <c:strCache>
                <c:ptCount val="1"/>
                <c:pt idx="0">
                  <c:v>Total</c:v>
                </c:pt>
              </c:strCache>
            </c:strRef>
          </c:tx>
          <c:spPr>
            <a:solidFill>
              <a:srgbClr val="663300"/>
            </a:solidFill>
            <a:scene3d>
              <a:camera prst="orthographicFront"/>
              <a:lightRig rig="threePt" dir="t"/>
            </a:scene3d>
            <a:sp3d>
              <a:bevelT w="139700" h="139700" prst="divot"/>
            </a:sp3d>
          </c:spPr>
          <c:invertIfNegative val="0"/>
          <c:dLbls>
            <c:spPr>
              <a:solidFill>
                <a:schemeClr val="tx1"/>
              </a:solid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Analysis!$A$27:$B$32</c:f>
              <c:multiLvlStrCache>
                <c:ptCount val="6"/>
                <c:lvl>
                  <c:pt idx="0">
                    <c:v>2022</c:v>
                  </c:pt>
                  <c:pt idx="1">
                    <c:v>2023</c:v>
                  </c:pt>
                  <c:pt idx="2">
                    <c:v>2022</c:v>
                  </c:pt>
                  <c:pt idx="3">
                    <c:v>2023</c:v>
                  </c:pt>
                  <c:pt idx="4">
                    <c:v>2022</c:v>
                  </c:pt>
                  <c:pt idx="5">
                    <c:v>2023</c:v>
                  </c:pt>
                </c:lvl>
                <c:lvl>
                  <c:pt idx="0">
                    <c:v>Jan</c:v>
                  </c:pt>
                  <c:pt idx="2">
                    <c:v>Feb</c:v>
                  </c:pt>
                  <c:pt idx="4">
                    <c:v>Mar</c:v>
                  </c:pt>
                </c:lvl>
              </c:multiLvlStrCache>
            </c:multiLvlStrRef>
          </c:cat>
          <c:val>
            <c:numRef>
              <c:f>Analysis!$C$27:$C$32</c:f>
              <c:numCache>
                <c:formatCode>_-* #,##0_-;\-* #,##0_-;_-* "-"??_-;_-@_-</c:formatCode>
                <c:ptCount val="6"/>
                <c:pt idx="0">
                  <c:v>32</c:v>
                </c:pt>
                <c:pt idx="1">
                  <c:v>45</c:v>
                </c:pt>
                <c:pt idx="2">
                  <c:v>34</c:v>
                </c:pt>
                <c:pt idx="3">
                  <c:v>46</c:v>
                </c:pt>
                <c:pt idx="4">
                  <c:v>36</c:v>
                </c:pt>
                <c:pt idx="5">
                  <c:v>52</c:v>
                </c:pt>
              </c:numCache>
            </c:numRef>
          </c:val>
          <c:extLst>
            <c:ext xmlns:c16="http://schemas.microsoft.com/office/drawing/2014/chart" uri="{C3380CC4-5D6E-409C-BE32-E72D297353CC}">
              <c16:uniqueId val="{00000000-576D-4849-B056-EDFFC09790E4}"/>
            </c:ext>
          </c:extLst>
        </c:ser>
        <c:dLbls>
          <c:dLblPos val="outEnd"/>
          <c:showLegendKey val="0"/>
          <c:showVal val="1"/>
          <c:showCatName val="0"/>
          <c:showSerName val="0"/>
          <c:showPercent val="0"/>
          <c:showBubbleSize val="0"/>
        </c:dLbls>
        <c:gapWidth val="150"/>
        <c:axId val="148636032"/>
        <c:axId val="148656512"/>
      </c:barChart>
      <c:catAx>
        <c:axId val="14863603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48656512"/>
        <c:crosses val="autoZero"/>
        <c:auto val="1"/>
        <c:lblAlgn val="ctr"/>
        <c:lblOffset val="100"/>
        <c:noMultiLvlLbl val="0"/>
      </c:catAx>
      <c:valAx>
        <c:axId val="148656512"/>
        <c:scaling>
          <c:orientation val="minMax"/>
        </c:scaling>
        <c:delete val="0"/>
        <c:axPos val="l"/>
        <c:numFmt formatCode="_-* #,##0_-;\-* #,##0_-;_-* &quot;-&quot;??_-;_-@_-"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48636032"/>
        <c:crosses val="autoZero"/>
        <c:crossBetween val="between"/>
      </c:valAx>
      <c:spPr>
        <a:noFill/>
        <a:ln w="25400">
          <a:noFill/>
        </a:ln>
        <a:scene3d>
          <a:camera prst="orthographicFront"/>
          <a:lightRig rig="threePt" dir="t"/>
        </a:scene3d>
        <a:sp3d>
          <a:bevelT prst="relaxedInset"/>
        </a:sp3d>
      </c:spPr>
    </c:plotArea>
    <c:plotVisOnly val="1"/>
    <c:dispBlanksAs val="gap"/>
    <c:showDLblsOverMax val="0"/>
    <c:extLst>
      <c:ext uri="{0b15fc19-7d7d-44ad-8c2d-2c3a37ce22c3}">
        <chartProps xmlns="https://web.wps.cn/et/2018/main" chartId="{2209f949-3010-4652-8ba0-8aeac0602886}"/>
      </c:ext>
    </c:extLst>
  </c:chart>
  <c:spPr>
    <a:noFill/>
    <a:ln>
      <a:noFill/>
    </a:ln>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data WELLDONE.xlsx]Analysis!PivotTable7</c:name>
    <c:fmtId val="2"/>
  </c:pivotSource>
  <c:chart>
    <c:title>
      <c:tx>
        <c:rich>
          <a:bodyPr rot="0" spcFirstLastPara="0" vertOverflow="ellipsis" vert="horz" wrap="square" anchor="ctr" anchorCtr="1"/>
          <a:lstStyle/>
          <a:p>
            <a:pPr>
              <a:defRPr lang="en-US" sz="1800" b="1" i="0" u="none" strike="noStrike" kern="1200" baseline="0">
                <a:solidFill>
                  <a:schemeClr val="bg1"/>
                </a:solidFill>
                <a:latin typeface="+mn-lt"/>
                <a:ea typeface="+mn-ea"/>
                <a:cs typeface="+mn-cs"/>
              </a:defRPr>
            </a:pPr>
            <a:r>
              <a:rPr lang="en-US" sz="1200">
                <a:solidFill>
                  <a:schemeClr val="bg1"/>
                </a:solidFill>
                <a:latin typeface="Rockwell Extra Bold" panose="02060903040505020403" pitchFamily="18" charset="0"/>
              </a:rPr>
              <a:t>Order Fulfilment </a:t>
            </a:r>
          </a:p>
        </c:rich>
      </c:tx>
      <c:layout>
        <c:manualLayout>
          <c:xMode val="edge"/>
          <c:yMode val="edge"/>
          <c:x val="0.182066072964506"/>
          <c:y val="5.1097688843211399E-2"/>
        </c:manualLayout>
      </c:layout>
      <c:overlay val="0"/>
      <c:spPr>
        <a:solidFill>
          <a:srgbClr val="663300"/>
        </a:solidFill>
      </c:spPr>
    </c:title>
    <c:autoTitleDeleted val="0"/>
    <c:pivotFmts>
      <c:pivotFmt>
        <c:idx val="0"/>
        <c:spPr>
          <a:solidFill>
            <a:srgbClr val="663300"/>
          </a:solidFill>
          <a:scene3d>
            <a:camera prst="orthographicFront"/>
            <a:lightRig rig="threePt" dir="t"/>
          </a:scene3d>
          <a:sp3d>
            <a:bevelT prst="relaxedInset"/>
          </a:sp3d>
        </c:spPr>
        <c:marker>
          <c:symbol val="none"/>
        </c:marker>
        <c:dLbl>
          <c:idx val="0"/>
          <c:spPr>
            <a:solidFill>
              <a:schemeClr val="tx1"/>
            </a:solidFill>
            <a:ln>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663300"/>
          </a:solidFill>
          <a:scene3d>
            <a:camera prst="orthographicFront"/>
            <a:lightRig rig="threePt" dir="t"/>
          </a:scene3d>
          <a:sp3d>
            <a:bevelT prst="relaxedInset"/>
          </a:sp3d>
        </c:spPr>
        <c:dLbl>
          <c:idx val="0"/>
          <c:layout>
            <c:manualLayout>
              <c:x val="0.10546364445994054"/>
              <c:y val="0.12295401451961301"/>
            </c:manualLayout>
          </c:layout>
          <c:tx>
            <c:rich>
              <a:bodyPr rot="0" spcFirstLastPara="0"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r>
                  <a:rPr lang="en-US" b="1">
                    <a:solidFill>
                      <a:schemeClr val="bg1"/>
                    </a:solidFill>
                  </a:rPr>
                  <a:t>Cancelled
13%</a:t>
                </a:r>
              </a:p>
            </c:rich>
          </c:tx>
          <c:spPr>
            <a:solidFill>
              <a:schemeClr val="tx1"/>
            </a:solid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2624292955406533"/>
                  <c:h val="0.18135648512790381"/>
                </c:manualLayout>
              </c15:layout>
              <c15:showDataLabelsRange val="0"/>
            </c:ext>
          </c:extLst>
        </c:dLbl>
      </c:pivotFmt>
      <c:pivotFmt>
        <c:idx val="2"/>
        <c:spPr>
          <a:solidFill>
            <a:srgbClr val="663300"/>
          </a:solidFill>
          <a:scene3d>
            <a:camera prst="orthographicFront"/>
            <a:lightRig rig="threePt" dir="t"/>
          </a:scene3d>
          <a:sp3d>
            <a:bevelT prst="relaxedInset"/>
          </a:sp3d>
        </c:spPr>
        <c:dLbl>
          <c:idx val="0"/>
          <c:layout>
            <c:manualLayout>
              <c:x val="-0.11701829447430549"/>
              <c:y val="-5.0847555381728853E-2"/>
            </c:manualLayout>
          </c:layout>
          <c:tx>
            <c:rich>
              <a:bodyPr rot="0" spcFirstLastPara="0"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r>
                  <a:rPr lang="en-US" b="1">
                    <a:solidFill>
                      <a:schemeClr val="bg1"/>
                    </a:solidFill>
                  </a:rPr>
                  <a:t>Processing
37%</a:t>
                </a:r>
              </a:p>
            </c:rich>
          </c:tx>
          <c:spPr>
            <a:solidFill>
              <a:schemeClr val="tx1"/>
            </a:solid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3628694076542439"/>
                  <c:h val="0.1785408529804571"/>
                </c:manualLayout>
              </c15:layout>
              <c15:showDataLabelsRange val="0"/>
            </c:ext>
          </c:extLst>
        </c:dLbl>
      </c:pivotFmt>
      <c:pivotFmt>
        <c:idx val="3"/>
        <c:spPr>
          <a:solidFill>
            <a:srgbClr val="663300"/>
          </a:solidFill>
          <a:scene3d>
            <a:camera prst="orthographicFront"/>
            <a:lightRig rig="threePt" dir="t"/>
          </a:scene3d>
          <a:sp3d>
            <a:bevelT prst="relaxedInset"/>
          </a:sp3d>
        </c:spPr>
        <c:dLbl>
          <c:idx val="0"/>
          <c:layout>
            <c:manualLayout>
              <c:x val="0.24485882717145999"/>
              <c:y val="2.63837513107635E-3"/>
            </c:manualLayout>
          </c:layout>
          <c:tx>
            <c:rich>
              <a:bodyPr rot="0" spcFirstLastPara="0"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r>
                  <a:rPr lang="en-US" b="1">
                    <a:solidFill>
                      <a:schemeClr val="bg1"/>
                    </a:solidFill>
                  </a:rPr>
                  <a:t>Shipped
50%</a:t>
                </a:r>
              </a:p>
            </c:rich>
          </c:tx>
          <c:spPr>
            <a:solidFill>
              <a:schemeClr val="tx1"/>
            </a:solid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howDataLabelsRange val="0"/>
            </c:ext>
          </c:extLst>
        </c:dLbl>
      </c:pivotFmt>
    </c:pivotFmts>
    <c:plotArea>
      <c:layout>
        <c:manualLayout>
          <c:layoutTarget val="inner"/>
          <c:xMode val="edge"/>
          <c:yMode val="edge"/>
          <c:x val="9.4218044201551679E-2"/>
          <c:y val="0.19505831505449406"/>
          <c:w val="0.81876375439817162"/>
          <c:h val="0.75250013067042032"/>
        </c:manualLayout>
      </c:layout>
      <c:pieChart>
        <c:varyColors val="1"/>
        <c:ser>
          <c:idx val="0"/>
          <c:order val="0"/>
          <c:tx>
            <c:strRef>
              <c:f>Analysis!$J$13</c:f>
              <c:strCache>
                <c:ptCount val="1"/>
                <c:pt idx="0">
                  <c:v>Total</c:v>
                </c:pt>
              </c:strCache>
            </c:strRef>
          </c:tx>
          <c:spPr>
            <a:solidFill>
              <a:srgbClr val="663300"/>
            </a:solidFill>
            <a:scene3d>
              <a:camera prst="orthographicFront"/>
              <a:lightRig rig="threePt" dir="t"/>
            </a:scene3d>
            <a:sp3d>
              <a:bevelT prst="relaxedInset"/>
            </a:sp3d>
          </c:spPr>
          <c:explosion val="25"/>
          <c:dPt>
            <c:idx val="0"/>
            <c:bubble3D val="0"/>
            <c:spPr>
              <a:solidFill>
                <a:srgbClr val="663300"/>
              </a:solidFill>
              <a:scene3d>
                <a:camera prst="orthographicFront"/>
                <a:lightRig rig="threePt" dir="t"/>
              </a:scene3d>
              <a:sp3d>
                <a:bevelT prst="relaxedInset"/>
              </a:sp3d>
            </c:spPr>
            <c:extLst>
              <c:ext xmlns:c16="http://schemas.microsoft.com/office/drawing/2014/chart" uri="{C3380CC4-5D6E-409C-BE32-E72D297353CC}">
                <c16:uniqueId val="{00000001-A87C-4FB5-AF05-9AD78E3F51C8}"/>
              </c:ext>
            </c:extLst>
          </c:dPt>
          <c:dPt>
            <c:idx val="1"/>
            <c:bubble3D val="0"/>
            <c:spPr>
              <a:solidFill>
                <a:srgbClr val="663300"/>
              </a:solidFill>
              <a:scene3d>
                <a:camera prst="orthographicFront"/>
                <a:lightRig rig="threePt" dir="t"/>
              </a:scene3d>
              <a:sp3d>
                <a:bevelT prst="relaxedInset"/>
              </a:sp3d>
            </c:spPr>
            <c:extLst>
              <c:ext xmlns:c16="http://schemas.microsoft.com/office/drawing/2014/chart" uri="{C3380CC4-5D6E-409C-BE32-E72D297353CC}">
                <c16:uniqueId val="{00000003-A87C-4FB5-AF05-9AD78E3F51C8}"/>
              </c:ext>
            </c:extLst>
          </c:dPt>
          <c:dPt>
            <c:idx val="2"/>
            <c:bubble3D val="0"/>
            <c:spPr>
              <a:solidFill>
                <a:srgbClr val="663300"/>
              </a:solidFill>
              <a:scene3d>
                <a:camera prst="orthographicFront"/>
                <a:lightRig rig="threePt" dir="t"/>
              </a:scene3d>
              <a:sp3d>
                <a:bevelT prst="relaxedInset"/>
              </a:sp3d>
            </c:spPr>
            <c:extLst>
              <c:ext xmlns:c16="http://schemas.microsoft.com/office/drawing/2014/chart" uri="{C3380CC4-5D6E-409C-BE32-E72D297353CC}">
                <c16:uniqueId val="{00000005-A87C-4FB5-AF05-9AD78E3F51C8}"/>
              </c:ext>
            </c:extLst>
          </c:dPt>
          <c:dLbls>
            <c:dLbl>
              <c:idx val="0"/>
              <c:layout>
                <c:manualLayout>
                  <c:x val="0.10546364445994054"/>
                  <c:y val="0.12295401451961301"/>
                </c:manualLayout>
              </c:layout>
              <c:tx>
                <c:rich>
                  <a:bodyPr/>
                  <a:lstStyle/>
                  <a:p>
                    <a:r>
                      <a:rPr lang="en-US" b="1">
                        <a:solidFill>
                          <a:schemeClr val="bg1"/>
                        </a:solidFill>
                      </a:rPr>
                      <a:t>Cancelled
13%</a:t>
                    </a:r>
                  </a:p>
                </c:rich>
              </c:tx>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2624292955406533"/>
                      <c:h val="0.18135648512790381"/>
                    </c:manualLayout>
                  </c15:layout>
                  <c15:showDataLabelsRange val="0"/>
                </c:ext>
                <c:ext xmlns:c16="http://schemas.microsoft.com/office/drawing/2014/chart" uri="{C3380CC4-5D6E-409C-BE32-E72D297353CC}">
                  <c16:uniqueId val="{00000001-A87C-4FB5-AF05-9AD78E3F51C8}"/>
                </c:ext>
              </c:extLst>
            </c:dLbl>
            <c:dLbl>
              <c:idx val="1"/>
              <c:layout>
                <c:manualLayout>
                  <c:x val="-0.11701829447430549"/>
                  <c:y val="-5.0847555381728853E-2"/>
                </c:manualLayout>
              </c:layout>
              <c:tx>
                <c:rich>
                  <a:bodyPr/>
                  <a:lstStyle/>
                  <a:p>
                    <a:r>
                      <a:rPr lang="en-US" b="1">
                        <a:solidFill>
                          <a:schemeClr val="bg1"/>
                        </a:solidFill>
                      </a:rPr>
                      <a:t>Processing
37%</a:t>
                    </a:r>
                  </a:p>
                </c:rich>
              </c:tx>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3628694076542439"/>
                      <c:h val="0.1785408529804571"/>
                    </c:manualLayout>
                  </c15:layout>
                  <c15:showDataLabelsRange val="0"/>
                </c:ext>
                <c:ext xmlns:c16="http://schemas.microsoft.com/office/drawing/2014/chart" uri="{C3380CC4-5D6E-409C-BE32-E72D297353CC}">
                  <c16:uniqueId val="{00000003-A87C-4FB5-AF05-9AD78E3F51C8}"/>
                </c:ext>
              </c:extLst>
            </c:dLbl>
            <c:dLbl>
              <c:idx val="2"/>
              <c:layout>
                <c:manualLayout>
                  <c:x val="0.24485882717145999"/>
                  <c:y val="2.63837513107635E-3"/>
                </c:manualLayout>
              </c:layout>
              <c:tx>
                <c:rich>
                  <a:bodyPr/>
                  <a:lstStyle/>
                  <a:p>
                    <a:r>
                      <a:rPr lang="en-US" b="1">
                        <a:solidFill>
                          <a:schemeClr val="bg1"/>
                        </a:solidFill>
                      </a:rPr>
                      <a:t>Shipped
50%</a:t>
                    </a:r>
                  </a:p>
                </c:rich>
              </c:tx>
              <c:dLblPos val="bestFit"/>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5-A87C-4FB5-AF05-9AD78E3F51C8}"/>
                </c:ext>
              </c:extLst>
            </c:dLbl>
            <c:spPr>
              <a:solidFill>
                <a:schemeClr val="tx1"/>
              </a:solidFill>
              <a:ln>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Analysis!$I$14:$I$17</c:f>
              <c:strCache>
                <c:ptCount val="3"/>
                <c:pt idx="0">
                  <c:v>Cancelled</c:v>
                </c:pt>
                <c:pt idx="1">
                  <c:v>Processing</c:v>
                </c:pt>
                <c:pt idx="2">
                  <c:v>Shipped</c:v>
                </c:pt>
              </c:strCache>
            </c:strRef>
          </c:cat>
          <c:val>
            <c:numRef>
              <c:f>Analysis!$J$14:$J$17</c:f>
              <c:numCache>
                <c:formatCode>_-* #,##0_-;\-* #,##0_-;_-* "-"??_-;_-@_-</c:formatCode>
                <c:ptCount val="3"/>
                <c:pt idx="0">
                  <c:v>31</c:v>
                </c:pt>
                <c:pt idx="1">
                  <c:v>91</c:v>
                </c:pt>
                <c:pt idx="2">
                  <c:v>123</c:v>
                </c:pt>
              </c:numCache>
            </c:numRef>
          </c:val>
          <c:extLst>
            <c:ext xmlns:c16="http://schemas.microsoft.com/office/drawing/2014/chart" uri="{C3380CC4-5D6E-409C-BE32-E72D297353CC}">
              <c16:uniqueId val="{00000006-A87C-4FB5-AF05-9AD78E3F51C8}"/>
            </c:ext>
          </c:extLst>
        </c:ser>
        <c:dLbls>
          <c:showLegendKey val="0"/>
          <c:showVal val="0"/>
          <c:showCatName val="1"/>
          <c:showSerName val="0"/>
          <c:showPercent val="1"/>
          <c:showBubbleSize val="0"/>
          <c:showLeaderLines val="1"/>
        </c:dLbls>
        <c:firstSliceAng val="0"/>
      </c:pieChart>
    </c:plotArea>
    <c:plotVisOnly val="1"/>
    <c:dispBlanksAs val="gap"/>
    <c:showDLblsOverMax val="0"/>
    <c:extLst>
      <c:ext uri="{0b15fc19-7d7d-44ad-8c2d-2c3a37ce22c3}">
        <chartProps xmlns="https://web.wps.cn/et/2018/main" chartId="{4ff6ef32-1740-4979-b1dc-888a47d4f577}"/>
      </c:ext>
    </c:extLst>
  </c:chart>
  <c:spPr>
    <a:noFill/>
    <a:ln w="6350" cap="flat" cmpd="sng" algn="ctr">
      <a:noFill/>
      <a:prstDash val="solid"/>
      <a:round/>
    </a:ln>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[Bike sales data WELLDONE.xlsx]Analysis!PivotTable1</c:name>
    <c:fmtId val="3"/>
  </c:pivotSource>
  <c:chart>
    <c:title>
      <c:tx>
        <c:rich>
          <a:bodyPr rot="0" spcFirstLastPara="0" vertOverflow="ellipsis" vert="horz" wrap="square" anchor="ctr" anchorCtr="1"/>
          <a:lstStyle/>
          <a:p>
            <a:pPr>
              <a:defRPr lang="en-US" sz="1800" b="1" i="0" u="none" strike="noStrike" kern="1200" baseline="0">
                <a:solidFill>
                  <a:schemeClr val="lt1"/>
                </a:solidFill>
                <a:latin typeface="+mn-lt"/>
                <a:ea typeface="+mn-ea"/>
                <a:cs typeface="+mn-cs"/>
              </a:defRPr>
            </a:pPr>
            <a:r>
              <a:rPr lang="en-US" sz="1200">
                <a:latin typeface="Rockwell Extra Bold" panose="02060903040505020403" pitchFamily="18" charset="0"/>
              </a:rPr>
              <a:t>Sales By Month</a:t>
            </a:r>
          </a:p>
        </c:rich>
      </c:tx>
      <c:overlay val="0"/>
      <c:spPr>
        <a:solidFill>
          <a:srgbClr val="663300"/>
        </a:solidFill>
      </c:spPr>
    </c:title>
    <c:autoTitleDeleted val="0"/>
    <c:pivotFmts>
      <c:pivotFmt>
        <c:idx val="0"/>
        <c:spPr>
          <a:solidFill>
            <a:srgbClr val="663300"/>
          </a:solidFill>
          <a:scene3d>
            <a:camera prst="orthographicFront"/>
            <a:lightRig rig="threePt" dir="t"/>
          </a:scene3d>
          <a:sp3d>
            <a:bevelT w="152400" h="50800" prst="softRound"/>
          </a:sp3d>
        </c:spPr>
        <c:marker>
          <c:symbol val="none"/>
        </c:marker>
        <c:dLbl>
          <c:idx val="0"/>
          <c:spPr>
            <a:solidFill>
              <a:schemeClr val="accent4">
                <a:lumMod val="75000"/>
              </a:schemeClr>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1370554739820224E-2"/>
              <c:y val="-0.21604329994004559"/>
            </c:manualLayout>
          </c:layout>
          <c:spPr>
            <a:solidFill>
              <a:schemeClr val="tx1"/>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911058983633563"/>
                  <c:h val="0.20874545933577163"/>
                </c:manualLayout>
              </c15:layout>
            </c:ext>
          </c:extLst>
        </c:dLbl>
      </c:pivotFmt>
      <c:pivotFmt>
        <c:idx val="2"/>
        <c:dLbl>
          <c:idx val="0"/>
          <c:layout>
            <c:manualLayout>
              <c:x val="3.6006756676097346E-2"/>
              <c:y val="-0.30035288040445363"/>
            </c:manualLayout>
          </c:layout>
          <c:spPr>
            <a:solidFill>
              <a:schemeClr val="tx1"/>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048114457615582"/>
                  <c:h val="0.20874545933577163"/>
                </c:manualLayout>
              </c15:layout>
            </c:ext>
          </c:extLst>
        </c:dLbl>
      </c:pivotFmt>
      <c:pivotFmt>
        <c:idx val="3"/>
        <c:dLbl>
          <c:idx val="0"/>
          <c:layout>
            <c:manualLayout>
              <c:x val="-4.8620748159177974E-17"/>
              <c:y val="-0.12646437069661209"/>
            </c:manualLayout>
          </c:layout>
          <c:spPr>
            <a:solidFill>
              <a:schemeClr val="tx1"/>
            </a:solidFill>
            <a:ln>
              <a:noFill/>
            </a:ln>
            <a:effectLst/>
          </c:spPr>
          <c:txPr>
            <a:bodyPr wrap="square" lIns="38100" tIns="19050" rIns="38100" bIns="19050" anchor="ctr">
              <a:no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636948035669516"/>
                  <c:h val="0.176048942707242"/>
                </c:manualLayout>
              </c15:layout>
            </c:ext>
          </c:extLst>
        </c:dLbl>
      </c:pivotFmt>
      <c:pivotFmt>
        <c:idx val="4"/>
        <c:dLbl>
          <c:idx val="0"/>
          <c:layout>
            <c:manualLayout>
              <c:x val="-3.4742960351363518E-17"/>
              <c:y val="-0.14227241703368862"/>
            </c:manualLayout>
          </c:layout>
          <c:spPr>
            <a:solidFill>
              <a:schemeClr val="accent4">
                <a:lumMod val="75000"/>
              </a:schemeClr>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2741109479640441E-2"/>
              <c:y val="-0.21077395116102016"/>
            </c:manualLayout>
          </c:layout>
          <c:spPr>
            <a:solidFill>
              <a:schemeClr val="accent4">
                <a:lumMod val="75000"/>
              </a:schemeClr>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911058983633563"/>
                  <c:h val="0.20874545933577163"/>
                </c:manualLayout>
              </c15:layout>
            </c:ext>
          </c:extLst>
        </c:dLbl>
      </c:pivotFmt>
      <c:pivotFmt>
        <c:idx val="6"/>
        <c:dLbl>
          <c:idx val="0"/>
          <c:layout>
            <c:manualLayout>
              <c:x val="9.4754622831835084E-3"/>
              <c:y val="-0.3056222291834792"/>
            </c:manualLayout>
          </c:layout>
          <c:spPr>
            <a:solidFill>
              <a:schemeClr val="accent4">
                <a:lumMod val="75000"/>
              </a:schemeClr>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53204049230622"/>
                  <c:h val="0.20874545933577163"/>
                </c:manualLayout>
              </c15:layout>
            </c:ext>
          </c:extLst>
        </c:dLbl>
      </c:pivotFmt>
    </c:pivotFmts>
    <c:plotArea>
      <c:layout/>
      <c:barChart>
        <c:barDir val="col"/>
        <c:grouping val="stacked"/>
        <c:varyColors val="0"/>
        <c:ser>
          <c:idx val="0"/>
          <c:order val="0"/>
          <c:tx>
            <c:strRef>
              <c:f>Analysis!$C$13</c:f>
              <c:strCache>
                <c:ptCount val="1"/>
                <c:pt idx="0">
                  <c:v>Total</c:v>
                </c:pt>
              </c:strCache>
            </c:strRef>
          </c:tx>
          <c:spPr>
            <a:solidFill>
              <a:srgbClr val="663300"/>
            </a:solidFill>
            <a:scene3d>
              <a:camera prst="orthographicFront"/>
              <a:lightRig rig="threePt" dir="t"/>
            </a:scene3d>
            <a:sp3d>
              <a:bevelT w="152400" h="50800" prst="softRound"/>
            </a:sp3d>
          </c:spPr>
          <c:invertIfNegative val="0"/>
          <c:dLbls>
            <c:dLbl>
              <c:idx val="0"/>
              <c:layout>
                <c:manualLayout>
                  <c:x val="-4.8620748159177974E-17"/>
                  <c:y val="-0.12646437069661209"/>
                </c:manualLayout>
              </c:layout>
              <c:spPr>
                <a:solidFill>
                  <a:schemeClr val="tx1"/>
                </a:solidFill>
                <a:ln>
                  <a:noFill/>
                </a:ln>
                <a:effectLst/>
              </c:spPr>
              <c:txPr>
                <a:bodyPr wrap="square" lIns="38100" tIns="19050" rIns="38100" bIns="19050" anchor="ctr">
                  <a:no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636948035669516"/>
                      <c:h val="0.176048942707242"/>
                    </c:manualLayout>
                  </c15:layout>
                </c:ext>
                <c:ext xmlns:c16="http://schemas.microsoft.com/office/drawing/2014/chart" uri="{C3380CC4-5D6E-409C-BE32-E72D297353CC}">
                  <c16:uniqueId val="{00000002-0A54-43B3-8D62-4EC64B45B89C}"/>
                </c:ext>
              </c:extLst>
            </c:dLbl>
            <c:dLbl>
              <c:idx val="1"/>
              <c:layout>
                <c:manualLayout>
                  <c:x val="1.1370554739820224E-2"/>
                  <c:y val="-0.21604329994004559"/>
                </c:manualLayout>
              </c:layout>
              <c:spPr>
                <a:solidFill>
                  <a:schemeClr val="tx1"/>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911058983633563"/>
                      <c:h val="0.20874545933577163"/>
                    </c:manualLayout>
                  </c15:layout>
                </c:ext>
                <c:ext xmlns:c16="http://schemas.microsoft.com/office/drawing/2014/chart" uri="{C3380CC4-5D6E-409C-BE32-E72D297353CC}">
                  <c16:uniqueId val="{00000000-0A54-43B3-8D62-4EC64B45B89C}"/>
                </c:ext>
              </c:extLst>
            </c:dLbl>
            <c:dLbl>
              <c:idx val="2"/>
              <c:layout>
                <c:manualLayout>
                  <c:x val="3.6006756676097346E-2"/>
                  <c:y val="-0.30035288040445363"/>
                </c:manualLayout>
              </c:layout>
              <c:spPr>
                <a:solidFill>
                  <a:schemeClr val="tx1"/>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048114457615582"/>
                      <c:h val="0.20874545933577163"/>
                    </c:manualLayout>
                  </c15:layout>
                </c:ext>
                <c:ext xmlns:c16="http://schemas.microsoft.com/office/drawing/2014/chart" uri="{C3380CC4-5D6E-409C-BE32-E72D297353CC}">
                  <c16:uniqueId val="{00000001-0A54-43B3-8D62-4EC64B45B89C}"/>
                </c:ext>
              </c:extLst>
            </c:dLbl>
            <c:dLbl>
              <c:idx val="3"/>
              <c:layout>
                <c:manualLayout>
                  <c:x val="-3.4742960351363518E-17"/>
                  <c:y val="-0.1422724170336886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4"/>
              <c:layout>
                <c:manualLayout>
                  <c:x val="2.2741109479640441E-2"/>
                  <c:y val="-0.21077395116102016"/>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911058983633563"/>
                      <c:h val="0.20874545933577163"/>
                    </c:manualLayout>
                  </c15:layout>
                </c:ext>
              </c:extLst>
            </c:dLbl>
            <c:dLbl>
              <c:idx val="5"/>
              <c:layout>
                <c:manualLayout>
                  <c:x val="9.4754622831835084E-3"/>
                  <c:y val="-0.305622229183479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53204049230622"/>
                      <c:h val="0.20874545933577163"/>
                    </c:manualLayout>
                  </c15:layout>
                </c:ext>
              </c:extLst>
            </c:dLbl>
            <c:spPr>
              <a:solidFill>
                <a:schemeClr val="accent4">
                  <a:lumMod val="75000"/>
                </a:schemeClr>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Analysis!$A$14:$B$22</c:f>
              <c:multiLvlStrCache>
                <c:ptCount val="6"/>
                <c:lvl>
                  <c:pt idx="0">
                    <c:v>Jan</c:v>
                  </c:pt>
                  <c:pt idx="1">
                    <c:v>Feb</c:v>
                  </c:pt>
                  <c:pt idx="2">
                    <c:v>Mar</c:v>
                  </c:pt>
                  <c:pt idx="3">
                    <c:v>Jan</c:v>
                  </c:pt>
                  <c:pt idx="4">
                    <c:v>Feb</c:v>
                  </c:pt>
                  <c:pt idx="5">
                    <c:v>Mar</c:v>
                  </c:pt>
                </c:lvl>
                <c:lvl>
                  <c:pt idx="0">
                    <c:v>2022</c:v>
                  </c:pt>
                  <c:pt idx="3">
                    <c:v>2023</c:v>
                  </c:pt>
                </c:lvl>
              </c:multiLvlStrCache>
            </c:multiLvlStrRef>
          </c:cat>
          <c:val>
            <c:numRef>
              <c:f>Analysis!$C$14:$C$22</c:f>
              <c:numCache>
                <c:formatCode>_("$"* #,##0.00_);_("$"* \(#,##0.00\);_("$"* "-"??_);_(@_)</c:formatCode>
                <c:ptCount val="6"/>
                <c:pt idx="0">
                  <c:v>97300</c:v>
                </c:pt>
                <c:pt idx="1">
                  <c:v>108600</c:v>
                </c:pt>
                <c:pt idx="2">
                  <c:v>110700</c:v>
                </c:pt>
                <c:pt idx="3">
                  <c:v>137600</c:v>
                </c:pt>
                <c:pt idx="4">
                  <c:v>139500</c:v>
                </c:pt>
                <c:pt idx="5">
                  <c:v>158000</c:v>
                </c:pt>
              </c:numCache>
            </c:numRef>
          </c:val>
          <c:extLst>
            <c:ext xmlns:c16="http://schemas.microsoft.com/office/drawing/2014/chart" uri="{C3380CC4-5D6E-409C-BE32-E72D297353CC}">
              <c16:uniqueId val="{00000000-2931-4D9D-8FDA-034D9EB22268}"/>
            </c:ext>
          </c:extLst>
        </c:ser>
        <c:dLbls>
          <c:dLblPos val="ctr"/>
          <c:showLegendKey val="0"/>
          <c:showVal val="1"/>
          <c:showCatName val="0"/>
          <c:showSerName val="0"/>
          <c:showPercent val="0"/>
          <c:showBubbleSize val="0"/>
        </c:dLbls>
        <c:gapWidth val="150"/>
        <c:overlap val="100"/>
        <c:axId val="125915520"/>
        <c:axId val="125946112"/>
      </c:barChart>
      <c:catAx>
        <c:axId val="12591552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25946112"/>
        <c:crosses val="autoZero"/>
        <c:auto val="1"/>
        <c:lblAlgn val="ctr"/>
        <c:lblOffset val="100"/>
        <c:noMultiLvlLbl val="0"/>
      </c:catAx>
      <c:valAx>
        <c:axId val="125946112"/>
        <c:scaling>
          <c:orientation val="minMax"/>
        </c:scaling>
        <c:delete val="0"/>
        <c:axPos val="l"/>
        <c:numFmt formatCode="_(&quot;$&quot;* #,##0.00_);_(&quot;$&quot;* \(#,##0.00\);_(&quot;$&quot;* &quot;-&quot;??_);_(@_)"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25915520"/>
        <c:crosses val="autoZero"/>
        <c:crossBetween val="between"/>
      </c:valAx>
      <c:spPr>
        <a:noFill/>
        <a:ln w="25400">
          <a:noFill/>
        </a:ln>
        <a:effectLst/>
      </c:spPr>
    </c:plotArea>
    <c:plotVisOnly val="1"/>
    <c:dispBlanksAs val="gap"/>
    <c:showDLblsOverMax val="0"/>
    <c:extLst>
      <c:ext uri="{0b15fc19-7d7d-44ad-8c2d-2c3a37ce22c3}">
        <chartProps xmlns="https://web.wps.cn/et/2018/main" chartId="{7637c0ab-9f68-451e-9b2a-077ce297909e}"/>
      </c:ext>
    </c:extLst>
  </c:chart>
  <c:spPr>
    <a:noFill/>
    <a:ln>
      <a:noFill/>
    </a:ln>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chart>
    <c:title>
      <c:tx>
        <c:rich>
          <a:bodyPr rot="0" spcFirstLastPara="0" vertOverflow="ellipsis" vert="horz" wrap="square" anchor="ctr" anchorCtr="1"/>
          <a:lstStyle/>
          <a:p>
            <a:pPr>
              <a:defRPr lang="en-US" sz="1800" b="1" i="0" u="none" strike="noStrike" kern="1200" baseline="0">
                <a:solidFill>
                  <a:schemeClr val="lt1"/>
                </a:solidFill>
                <a:latin typeface="+mn-lt"/>
                <a:ea typeface="+mn-ea"/>
                <a:cs typeface="+mn-cs"/>
              </a:defRPr>
            </a:pPr>
            <a:r>
              <a:rPr lang="en-US" sz="1200">
                <a:latin typeface="Rockwell Extra Bold" panose="02060903040505020403" pitchFamily="18" charset="0"/>
              </a:rPr>
              <a:t>Top</a:t>
            </a:r>
            <a:r>
              <a:rPr lang="en-US" sz="1200" baseline="0">
                <a:latin typeface="Rockwell Extra Bold" panose="02060903040505020403" pitchFamily="18" charset="0"/>
              </a:rPr>
              <a:t> 5 Category</a:t>
            </a:r>
            <a:endParaRPr lang="en-US" sz="1200">
              <a:latin typeface="Rockwell Extra Bold" panose="02060903040505020403" pitchFamily="18" charset="0"/>
            </a:endParaRPr>
          </a:p>
        </c:rich>
      </c:tx>
      <c:layout>
        <c:manualLayout>
          <c:xMode val="edge"/>
          <c:yMode val="edge"/>
          <c:x val="0.27328284243314799"/>
          <c:y val="7.2398169409436205E-2"/>
        </c:manualLayout>
      </c:layout>
      <c:overlay val="0"/>
      <c:spPr>
        <a:solidFill>
          <a:srgbClr val="663300"/>
        </a:solidFill>
      </c:spPr>
    </c:title>
    <c:autoTitleDeleted val="0"/>
    <c:plotArea>
      <c:layout>
        <c:manualLayout>
          <c:layoutTarget val="inner"/>
          <c:xMode val="edge"/>
          <c:yMode val="edge"/>
          <c:x val="0.40588339572307602"/>
          <c:y val="0.20162190536993699"/>
          <c:w val="0.54602917258293504"/>
          <c:h val="0.71909881535078402"/>
        </c:manualLayout>
      </c:layout>
      <c:barChart>
        <c:barDir val="bar"/>
        <c:grouping val="stacked"/>
        <c:varyColors val="0"/>
        <c:ser>
          <c:idx val="0"/>
          <c:order val="0"/>
          <c:tx>
            <c:v>Total</c:v>
          </c:tx>
          <c:spPr>
            <a:solidFill>
              <a:srgbClr val="663300"/>
            </a:solidFill>
            <a:scene3d>
              <a:camera prst="orthographicFront"/>
              <a:lightRig rig="threePt" dir="t"/>
            </a:scene3d>
            <a:sp3d>
              <a:bevelT w="165100" prst="coolSlant"/>
            </a:sp3d>
          </c:spPr>
          <c:invertIfNegative val="0"/>
          <c:cat>
            <c:strLit>
              <c:ptCount val="5"/>
              <c:pt idx="0">
                <c:v>MOUNTAIN BIKES</c:v>
              </c:pt>
              <c:pt idx="1">
                <c:v>ROAD BIKES</c:v>
              </c:pt>
              <c:pt idx="2">
                <c:v>TOURING BIKES</c:v>
              </c:pt>
              <c:pt idx="3">
                <c:v>E-BIKES</c:v>
              </c:pt>
              <c:pt idx="4">
                <c:v>HYBRID BIKES</c:v>
              </c:pt>
            </c:strLit>
          </c:cat>
          <c:val>
            <c:numLit>
              <c:formatCode>General</c:formatCode>
              <c:ptCount val="5"/>
              <c:pt idx="0">
                <c:v>283900</c:v>
              </c:pt>
              <c:pt idx="1">
                <c:v>239300</c:v>
              </c:pt>
              <c:pt idx="2">
                <c:v>155600</c:v>
              </c:pt>
              <c:pt idx="3">
                <c:v>62800</c:v>
              </c:pt>
              <c:pt idx="4">
                <c:v>7800</c:v>
              </c:pt>
            </c:numLit>
          </c:val>
          <c:extLst>
            <c:ext xmlns:c16="http://schemas.microsoft.com/office/drawing/2014/chart" uri="{C3380CC4-5D6E-409C-BE32-E72D297353CC}">
              <c16:uniqueId val="{00000000-4E44-4895-A362-20FB036341EF}"/>
            </c:ext>
          </c:extLst>
        </c:ser>
        <c:dLbls>
          <c:showLegendKey val="0"/>
          <c:showVal val="0"/>
          <c:showCatName val="0"/>
          <c:showSerName val="0"/>
          <c:showPercent val="0"/>
          <c:showBubbleSize val="0"/>
        </c:dLbls>
        <c:gapWidth val="150"/>
        <c:overlap val="100"/>
        <c:axId val="83358464"/>
        <c:axId val="89201664"/>
      </c:barChart>
      <c:catAx>
        <c:axId val="83358464"/>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89201664"/>
        <c:crosses val="autoZero"/>
        <c:auto val="1"/>
        <c:lblAlgn val="ctr"/>
        <c:lblOffset val="100"/>
        <c:noMultiLvlLbl val="0"/>
      </c:catAx>
      <c:valAx>
        <c:axId val="89201664"/>
        <c:scaling>
          <c:orientation val="minMax"/>
        </c:scaling>
        <c:delete val="1"/>
        <c:axPos val="b"/>
        <c:numFmt formatCode="General" sourceLinked="1"/>
        <c:majorTickMark val="out"/>
        <c:minorTickMark val="none"/>
        <c:tickLblPos val="nextTo"/>
        <c:crossAx val="83358464"/>
        <c:crosses val="autoZero"/>
        <c:crossBetween val="between"/>
      </c:valAx>
      <c:spPr>
        <a:noFill/>
        <a:ln w="25400">
          <a:noFill/>
        </a:ln>
      </c:spPr>
    </c:plotArea>
    <c:plotVisOnly val="1"/>
    <c:dispBlanksAs val="gap"/>
    <c:showDLblsOverMax val="0"/>
    <c:extLst>
      <c:ext uri="{0b15fc19-7d7d-44ad-8c2d-2c3a37ce22c3}">
        <chartProps xmlns="https://web.wps.cn/et/2018/main" chartId="{b7503c0f-5910-4052-9d85-5ab0ab67088d}"/>
      </c:ext>
    </c:extLst>
  </c:chart>
  <c:spPr>
    <a:noFill/>
    <a:ln>
      <a:noFill/>
    </a:ln>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247649</xdr:colOff>
      <xdr:row>4</xdr:row>
      <xdr:rowOff>57150</xdr:rowOff>
    </xdr:from>
    <xdr:to>
      <xdr:col>17</xdr:col>
      <xdr:colOff>23811</xdr:colOff>
      <xdr:row>32</xdr:row>
      <xdr:rowOff>0</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1438274" y="438150"/>
          <a:ext cx="9444037" cy="5276850"/>
        </a:xfrm>
        <a:prstGeom prst="roundRect">
          <a:avLst/>
        </a:prstGeom>
        <a:solidFill>
          <a:schemeClr val="accent4">
            <a:lumMod val="40000"/>
            <a:lumOff val="60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8</xdr:col>
      <xdr:colOff>197984</xdr:colOff>
      <xdr:row>27</xdr:row>
      <xdr:rowOff>40820</xdr:rowOff>
    </xdr:from>
    <xdr:to>
      <xdr:col>11</xdr:col>
      <xdr:colOff>100352</xdr:colOff>
      <xdr:row>31</xdr:row>
      <xdr:rowOff>56060</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4987698" y="4803320"/>
          <a:ext cx="1698511" cy="777240"/>
        </a:xfrm>
        <a:prstGeom prst="roundRect">
          <a:avLst/>
        </a:prstGeom>
        <a:solidFill>
          <a:srgbClr val="663300"/>
        </a:solidFill>
        <a:ln>
          <a:noFill/>
        </a:ln>
        <a:scene3d>
          <a:camera prst="obliqueTopLef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7</xdr:col>
      <xdr:colOff>298337</xdr:colOff>
      <xdr:row>5</xdr:row>
      <xdr:rowOff>6803</xdr:rowOff>
    </xdr:from>
    <xdr:to>
      <xdr:col>9</xdr:col>
      <xdr:colOff>224517</xdr:colOff>
      <xdr:row>7</xdr:row>
      <xdr:rowOff>4422</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4489337" y="578303"/>
          <a:ext cx="1123609" cy="378619"/>
        </a:xfrm>
        <a:prstGeom prst="roundRect">
          <a:avLst/>
        </a:prstGeom>
        <a:solidFill>
          <a:srgbClr val="663300"/>
        </a:solidFill>
        <a:ln>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800"/>
        </a:p>
      </xdr:txBody>
    </xdr:sp>
    <xdr:clientData/>
  </xdr:twoCellAnchor>
  <xdr:twoCellAnchor>
    <xdr:from>
      <xdr:col>8</xdr:col>
      <xdr:colOff>196285</xdr:colOff>
      <xdr:row>21</xdr:row>
      <xdr:rowOff>3060</xdr:rowOff>
    </xdr:from>
    <xdr:to>
      <xdr:col>11</xdr:col>
      <xdr:colOff>98586</xdr:colOff>
      <xdr:row>25</xdr:row>
      <xdr:rowOff>18300</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4985999" y="3622560"/>
          <a:ext cx="1698444" cy="777240"/>
        </a:xfrm>
        <a:prstGeom prst="roundRect">
          <a:avLst/>
        </a:prstGeom>
        <a:solidFill>
          <a:srgbClr val="663300"/>
        </a:solidFill>
        <a:ln>
          <a:noFill/>
        </a:ln>
        <a:scene3d>
          <a:camera prst="obliqueTopLef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xdr:col>
      <xdr:colOff>333376</xdr:colOff>
      <xdr:row>6</xdr:row>
      <xdr:rowOff>83345</xdr:rowOff>
    </xdr:from>
    <xdr:to>
      <xdr:col>7</xdr:col>
      <xdr:colOff>244929</xdr:colOff>
      <xdr:row>16</xdr:row>
      <xdr:rowOff>107157</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321467</xdr:colOff>
      <xdr:row>16</xdr:row>
      <xdr:rowOff>71438</xdr:rowOff>
    </xdr:from>
    <xdr:to>
      <xdr:col>7</xdr:col>
      <xdr:colOff>380999</xdr:colOff>
      <xdr:row>30</xdr:row>
      <xdr:rowOff>178593</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205808</xdr:colOff>
      <xdr:row>26</xdr:row>
      <xdr:rowOff>183698</xdr:rowOff>
    </xdr:from>
    <xdr:to>
      <xdr:col>11</xdr:col>
      <xdr:colOff>62934</xdr:colOff>
      <xdr:row>29</xdr:row>
      <xdr:rowOff>5104</xdr:rowOff>
    </xdr:to>
    <xdr:sp macro="" textlink="">
      <xdr:nvSpPr>
        <xdr:cNvPr id="11" name="Rectangle 10">
          <a:extLst>
            <a:ext uri="{FF2B5EF4-FFF2-40B4-BE49-F238E27FC236}">
              <a16:creationId xmlns:a16="http://schemas.microsoft.com/office/drawing/2014/main" id="{00000000-0008-0000-0300-00000B000000}"/>
            </a:ext>
          </a:extLst>
        </xdr:cNvPr>
        <xdr:cNvSpPr/>
      </xdr:nvSpPr>
      <xdr:spPr>
        <a:xfrm>
          <a:off x="4995522" y="4755698"/>
          <a:ext cx="1653269" cy="3929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chemeClr val="bg1"/>
              </a:solidFill>
              <a:latin typeface="Rockwell Extra Bold" panose="02060903040505020403" pitchFamily="18" charset="0"/>
            </a:rPr>
            <a:t>No</a:t>
          </a:r>
          <a:r>
            <a:rPr lang="en-US" sz="1100" b="1" baseline="0">
              <a:solidFill>
                <a:schemeClr val="bg1"/>
              </a:solidFill>
              <a:latin typeface="Rockwell Extra Bold" panose="02060903040505020403" pitchFamily="18" charset="0"/>
            </a:rPr>
            <a:t> Of Customers</a:t>
          </a:r>
          <a:endParaRPr lang="en-US" sz="1100" b="1">
            <a:solidFill>
              <a:schemeClr val="bg1"/>
            </a:solidFill>
            <a:latin typeface="Rockwell Extra Bold" panose="02060903040505020403" pitchFamily="18" charset="0"/>
          </a:endParaRPr>
        </a:p>
      </xdr:txBody>
    </xdr:sp>
    <xdr:clientData/>
  </xdr:twoCellAnchor>
  <xdr:twoCellAnchor>
    <xdr:from>
      <xdr:col>8</xdr:col>
      <xdr:colOff>232341</xdr:colOff>
      <xdr:row>20</xdr:row>
      <xdr:rowOff>149001</xdr:rowOff>
    </xdr:from>
    <xdr:to>
      <xdr:col>11</xdr:col>
      <xdr:colOff>88922</xdr:colOff>
      <xdr:row>22</xdr:row>
      <xdr:rowOff>160907</xdr:rowOff>
    </xdr:to>
    <xdr:sp macro="" textlink="">
      <xdr:nvSpPr>
        <xdr:cNvPr id="12" name="Rectangle 11">
          <a:extLst>
            <a:ext uri="{FF2B5EF4-FFF2-40B4-BE49-F238E27FC236}">
              <a16:creationId xmlns:a16="http://schemas.microsoft.com/office/drawing/2014/main" id="{00000000-0008-0000-0300-00000C000000}"/>
            </a:ext>
          </a:extLst>
        </xdr:cNvPr>
        <xdr:cNvSpPr/>
      </xdr:nvSpPr>
      <xdr:spPr>
        <a:xfrm>
          <a:off x="5022055" y="3578001"/>
          <a:ext cx="1652724" cy="3929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chemeClr val="bg1"/>
              </a:solidFill>
              <a:latin typeface="Rockwell Extra Bold" panose="02060903040505020403" pitchFamily="18" charset="0"/>
            </a:rPr>
            <a:t>No Of Order ID</a:t>
          </a:r>
        </a:p>
      </xdr:txBody>
    </xdr:sp>
    <xdr:clientData/>
  </xdr:twoCellAnchor>
  <xdr:twoCellAnchor>
    <xdr:from>
      <xdr:col>19</xdr:col>
      <xdr:colOff>102393</xdr:colOff>
      <xdr:row>8</xdr:row>
      <xdr:rowOff>150022</xdr:rowOff>
    </xdr:from>
    <xdr:to>
      <xdr:col>20</xdr:col>
      <xdr:colOff>173832</xdr:colOff>
      <xdr:row>10</xdr:row>
      <xdr:rowOff>161928</xdr:rowOff>
    </xdr:to>
    <xdr:sp macro="" textlink="">
      <xdr:nvSpPr>
        <xdr:cNvPr id="13" name="Rectangle 12">
          <a:extLst>
            <a:ext uri="{FF2B5EF4-FFF2-40B4-BE49-F238E27FC236}">
              <a16:creationId xmlns:a16="http://schemas.microsoft.com/office/drawing/2014/main" id="{00000000-0008-0000-0300-00000D000000}"/>
            </a:ext>
          </a:extLst>
        </xdr:cNvPr>
        <xdr:cNvSpPr/>
      </xdr:nvSpPr>
      <xdr:spPr>
        <a:xfrm>
          <a:off x="13303885" y="1102360"/>
          <a:ext cx="966470" cy="39306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b="1">
            <a:solidFill>
              <a:schemeClr val="bg1"/>
            </a:solidFill>
            <a:latin typeface="Rockwell Extra Bold" panose="02060903040505020403" pitchFamily="18" charset="0"/>
          </a:endParaRPr>
        </a:p>
      </xdr:txBody>
    </xdr:sp>
    <xdr:clientData/>
  </xdr:twoCellAnchor>
  <xdr:twoCellAnchor>
    <xdr:from>
      <xdr:col>3</xdr:col>
      <xdr:colOff>378618</xdr:colOff>
      <xdr:row>8</xdr:row>
      <xdr:rowOff>92870</xdr:rowOff>
    </xdr:from>
    <xdr:to>
      <xdr:col>6</xdr:col>
      <xdr:colOff>235744</xdr:colOff>
      <xdr:row>10</xdr:row>
      <xdr:rowOff>104776</xdr:rowOff>
    </xdr:to>
    <xdr:sp macro="" textlink="">
      <xdr:nvSpPr>
        <xdr:cNvPr id="14" name="Rectangle 13">
          <a:extLst>
            <a:ext uri="{FF2B5EF4-FFF2-40B4-BE49-F238E27FC236}">
              <a16:creationId xmlns:a16="http://schemas.microsoft.com/office/drawing/2014/main" id="{00000000-0008-0000-0300-00000E000000}"/>
            </a:ext>
          </a:extLst>
        </xdr:cNvPr>
        <xdr:cNvSpPr/>
      </xdr:nvSpPr>
      <xdr:spPr>
        <a:xfrm>
          <a:off x="2178685" y="1045210"/>
          <a:ext cx="1657350" cy="39306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b="1">
            <a:solidFill>
              <a:schemeClr val="bg1"/>
            </a:solidFill>
            <a:latin typeface="Rockwell Extra Bold" panose="02060903040505020403" pitchFamily="18" charset="0"/>
          </a:endParaRPr>
        </a:p>
      </xdr:txBody>
    </xdr:sp>
    <xdr:clientData/>
  </xdr:twoCellAnchor>
  <xdr:twoCellAnchor>
    <xdr:from>
      <xdr:col>8</xdr:col>
      <xdr:colOff>199344</xdr:colOff>
      <xdr:row>22</xdr:row>
      <xdr:rowOff>61234</xdr:rowOff>
    </xdr:from>
    <xdr:to>
      <xdr:col>11</xdr:col>
      <xdr:colOff>55925</xdr:colOff>
      <xdr:row>24</xdr:row>
      <xdr:rowOff>139817</xdr:rowOff>
    </xdr:to>
    <xdr:sp macro="" textlink="">
      <xdr:nvSpPr>
        <xdr:cNvPr id="16" name="Rectangle 15">
          <a:extLst>
            <a:ext uri="{FF2B5EF4-FFF2-40B4-BE49-F238E27FC236}">
              <a16:creationId xmlns:a16="http://schemas.microsoft.com/office/drawing/2014/main" id="{00000000-0008-0000-0300-000010000000}"/>
            </a:ext>
          </a:extLst>
        </xdr:cNvPr>
        <xdr:cNvSpPr/>
      </xdr:nvSpPr>
      <xdr:spPr>
        <a:xfrm>
          <a:off x="4989058" y="3871234"/>
          <a:ext cx="1652724" cy="4595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scene3d>
            <a:camera prst="orthographicFront"/>
            <a:lightRig rig="threePt" dir="t"/>
          </a:scene3d>
          <a:sp3d extrusionH="57150">
            <a:bevelT w="69850" h="69850" prst="divot"/>
          </a:sp3d>
        </a:bodyPr>
        <a:lstStyle/>
        <a:p>
          <a:pPr algn="ctr"/>
          <a:r>
            <a:rPr lang="en-US" sz="3200" b="1">
              <a:solidFill>
                <a:schemeClr val="accent4"/>
              </a:solidFill>
              <a:latin typeface="Rockwell Extra Bold" panose="02060903040505020403" pitchFamily="18" charset="0"/>
            </a:rPr>
            <a:t>245</a:t>
          </a:r>
        </a:p>
      </xdr:txBody>
    </xdr:sp>
    <xdr:clientData/>
  </xdr:twoCellAnchor>
  <xdr:twoCellAnchor>
    <xdr:from>
      <xdr:col>8</xdr:col>
      <xdr:colOff>132328</xdr:colOff>
      <xdr:row>28</xdr:row>
      <xdr:rowOff>66335</xdr:rowOff>
    </xdr:from>
    <xdr:to>
      <xdr:col>10</xdr:col>
      <xdr:colOff>591025</xdr:colOff>
      <xdr:row>30</xdr:row>
      <xdr:rowOff>178255</xdr:rowOff>
    </xdr:to>
    <xdr:sp macro="" textlink="">
      <xdr:nvSpPr>
        <xdr:cNvPr id="17" name="Rectangle 16">
          <a:extLst>
            <a:ext uri="{FF2B5EF4-FFF2-40B4-BE49-F238E27FC236}">
              <a16:creationId xmlns:a16="http://schemas.microsoft.com/office/drawing/2014/main" id="{00000000-0008-0000-0300-000011000000}"/>
            </a:ext>
          </a:extLst>
        </xdr:cNvPr>
        <xdr:cNvSpPr/>
      </xdr:nvSpPr>
      <xdr:spPr>
        <a:xfrm>
          <a:off x="4922042" y="5019335"/>
          <a:ext cx="1656126" cy="4929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scene3d>
            <a:camera prst="orthographicFront"/>
            <a:lightRig rig="threePt" dir="t"/>
          </a:scene3d>
          <a:sp3d extrusionH="57150">
            <a:bevelT w="38100" h="38100"/>
          </a:sp3d>
        </a:bodyPr>
        <a:lstStyle/>
        <a:p>
          <a:pPr algn="ctr"/>
          <a:r>
            <a:rPr lang="en-US" sz="3200" b="1">
              <a:ln>
                <a:noFill/>
              </a:ln>
              <a:solidFill>
                <a:schemeClr val="accent4"/>
              </a:solidFill>
              <a:latin typeface="Rockwell Extra Bold" panose="02060903040505020403" pitchFamily="18" charset="0"/>
            </a:rPr>
            <a:t>48</a:t>
          </a:r>
        </a:p>
      </xdr:txBody>
    </xdr:sp>
    <xdr:clientData/>
  </xdr:twoCellAnchor>
  <xdr:twoCellAnchor>
    <xdr:from>
      <xdr:col>11</xdr:col>
      <xdr:colOff>544286</xdr:colOff>
      <xdr:row>17</xdr:row>
      <xdr:rowOff>149678</xdr:rowOff>
    </xdr:from>
    <xdr:to>
      <xdr:col>16</xdr:col>
      <xdr:colOff>901474</xdr:colOff>
      <xdr:row>30</xdr:row>
      <xdr:rowOff>83343</xdr:rowOff>
    </xdr:to>
    <xdr:graphicFrame macro="">
      <xdr:nvGraphicFramePr>
        <xdr:cNvPr id="19" name="Chart 18">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530680</xdr:colOff>
      <xdr:row>3</xdr:row>
      <xdr:rowOff>181997</xdr:rowOff>
    </xdr:from>
    <xdr:to>
      <xdr:col>16</xdr:col>
      <xdr:colOff>1017136</xdr:colOff>
      <xdr:row>17</xdr:row>
      <xdr:rowOff>146279</xdr:rowOff>
    </xdr:to>
    <xdr:graphicFrame macro="">
      <xdr:nvGraphicFramePr>
        <xdr:cNvPr id="20" name="Chart 19">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54767</xdr:colOff>
      <xdr:row>5</xdr:row>
      <xdr:rowOff>19052</xdr:rowOff>
    </xdr:from>
    <xdr:to>
      <xdr:col>9</xdr:col>
      <xdr:colOff>513463</xdr:colOff>
      <xdr:row>7</xdr:row>
      <xdr:rowOff>30958</xdr:rowOff>
    </xdr:to>
    <xdr:sp macro="" textlink="">
      <xdr:nvSpPr>
        <xdr:cNvPr id="21" name="Rectangle 20">
          <a:extLst>
            <a:ext uri="{FF2B5EF4-FFF2-40B4-BE49-F238E27FC236}">
              <a16:creationId xmlns:a16="http://schemas.microsoft.com/office/drawing/2014/main" id="{00000000-0008-0000-0300-000015000000}"/>
            </a:ext>
          </a:extLst>
        </xdr:cNvPr>
        <xdr:cNvSpPr/>
      </xdr:nvSpPr>
      <xdr:spPr>
        <a:xfrm>
          <a:off x="4245767" y="590552"/>
          <a:ext cx="1656125" cy="392906"/>
        </a:xfrm>
        <a:prstGeom prst="rect">
          <a:avLst/>
        </a:prstGeom>
        <a:noFill/>
        <a:ln>
          <a:noFill/>
        </a:ln>
        <a:scene3d>
          <a:camera prst="obliqueBottomLeft"/>
          <a:lightRig rig="threePt" dir="t"/>
        </a:scene3d>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200" b="1">
              <a:solidFill>
                <a:schemeClr val="bg1"/>
              </a:solidFill>
              <a:latin typeface="Rockwell Extra Bold" panose="02060903040505020403" pitchFamily="18" charset="0"/>
            </a:rPr>
            <a:t>Dataset</a:t>
          </a:r>
        </a:p>
      </xdr:txBody>
    </xdr:sp>
    <xdr:clientData/>
  </xdr:twoCellAnchor>
  <xdr:twoCellAnchor>
    <xdr:from>
      <xdr:col>9</xdr:col>
      <xdr:colOff>335075</xdr:colOff>
      <xdr:row>5</xdr:row>
      <xdr:rowOff>20410</xdr:rowOff>
    </xdr:from>
    <xdr:to>
      <xdr:col>11</xdr:col>
      <xdr:colOff>314882</xdr:colOff>
      <xdr:row>7</xdr:row>
      <xdr:rowOff>18029</xdr:rowOff>
    </xdr:to>
    <xdr:sp macro="" textlink="">
      <xdr:nvSpPr>
        <xdr:cNvPr id="22" name="Rounded Rectangle 21">
          <a:extLst>
            <a:ext uri="{FF2B5EF4-FFF2-40B4-BE49-F238E27FC236}">
              <a16:creationId xmlns:a16="http://schemas.microsoft.com/office/drawing/2014/main" id="{00000000-0008-0000-0300-000016000000}"/>
            </a:ext>
          </a:extLst>
        </xdr:cNvPr>
        <xdr:cNvSpPr/>
      </xdr:nvSpPr>
      <xdr:spPr>
        <a:xfrm>
          <a:off x="5723504" y="591910"/>
          <a:ext cx="1177235" cy="378619"/>
        </a:xfrm>
        <a:prstGeom prst="roundRect">
          <a:avLst/>
        </a:prstGeom>
        <a:solidFill>
          <a:srgbClr val="663300"/>
        </a:solidFill>
        <a:ln>
          <a:no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800"/>
        </a:p>
      </xdr:txBody>
    </xdr:sp>
    <xdr:clientData/>
  </xdr:twoCellAnchor>
  <xdr:twoCellAnchor>
    <xdr:from>
      <xdr:col>9</xdr:col>
      <xdr:colOff>350381</xdr:colOff>
      <xdr:row>5</xdr:row>
      <xdr:rowOff>65996</xdr:rowOff>
    </xdr:from>
    <xdr:to>
      <xdr:col>11</xdr:col>
      <xdr:colOff>326570</xdr:colOff>
      <xdr:row>7</xdr:row>
      <xdr:rowOff>37420</xdr:rowOff>
    </xdr:to>
    <xdr:sp macro="" textlink="">
      <xdr:nvSpPr>
        <xdr:cNvPr id="23" name="Rectangle 22">
          <a:extLst>
            <a:ext uri="{FF2B5EF4-FFF2-40B4-BE49-F238E27FC236}">
              <a16:creationId xmlns:a16="http://schemas.microsoft.com/office/drawing/2014/main" id="{00000000-0008-0000-0300-000017000000}"/>
            </a:ext>
          </a:extLst>
        </xdr:cNvPr>
        <xdr:cNvSpPr/>
      </xdr:nvSpPr>
      <xdr:spPr>
        <a:xfrm>
          <a:off x="5738810" y="637496"/>
          <a:ext cx="1173617" cy="35242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chemeClr val="bg1"/>
              </a:solidFill>
              <a:latin typeface="Rockwell Extra Bold" panose="02060903040505020403" pitchFamily="18" charset="0"/>
            </a:rPr>
            <a:t>Calculation</a:t>
          </a:r>
        </a:p>
      </xdr:txBody>
    </xdr:sp>
    <xdr:clientData/>
  </xdr:twoCellAnchor>
  <xdr:twoCellAnchor editAs="oneCell">
    <xdr:from>
      <xdr:col>8</xdr:col>
      <xdr:colOff>193583</xdr:colOff>
      <xdr:row>10</xdr:row>
      <xdr:rowOff>120765</xdr:rowOff>
    </xdr:from>
    <xdr:to>
      <xdr:col>11</xdr:col>
      <xdr:colOff>163287</xdr:colOff>
      <xdr:row>14</xdr:row>
      <xdr:rowOff>81643</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19583" y="2025765"/>
              <a:ext cx="1779454" cy="722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259554</xdr:colOff>
      <xdr:row>2</xdr:row>
      <xdr:rowOff>0</xdr:rowOff>
    </xdr:from>
    <xdr:to>
      <xdr:col>16</xdr:col>
      <xdr:colOff>261937</xdr:colOff>
      <xdr:row>4</xdr:row>
      <xdr:rowOff>35721</xdr:rowOff>
    </xdr:to>
    <xdr:sp macro="" textlink="">
      <xdr:nvSpPr>
        <xdr:cNvPr id="7" name="Rounded Rectangle 1">
          <a:extLst>
            <a:ext uri="{FF2B5EF4-FFF2-40B4-BE49-F238E27FC236}">
              <a16:creationId xmlns:a16="http://schemas.microsoft.com/office/drawing/2014/main" id="{442D5675-CF0A-487A-8E3E-0DBB1FE0D9EB}"/>
            </a:ext>
          </a:extLst>
        </xdr:cNvPr>
        <xdr:cNvSpPr/>
      </xdr:nvSpPr>
      <xdr:spPr>
        <a:xfrm>
          <a:off x="2640804" y="0"/>
          <a:ext cx="7146133" cy="416721"/>
        </a:xfrm>
        <a:prstGeom prst="roundRect">
          <a:avLst/>
        </a:prstGeom>
        <a:solidFill>
          <a:schemeClr val="accent4">
            <a:lumMod val="40000"/>
            <a:lumOff val="60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000" b="1" cap="none" spc="0">
              <a:ln w="0"/>
              <a:solidFill>
                <a:srgbClr val="663300"/>
              </a:solidFill>
              <a:effectLst>
                <a:outerShdw blurRad="38100" dist="25400" dir="5400000" algn="ctr" rotWithShape="0">
                  <a:srgbClr val="6E747A">
                    <a:alpha val="43000"/>
                  </a:srgbClr>
                </a:outerShdw>
              </a:effectLst>
            </a:rPr>
            <a:t>BIKE SALES ANALYSIS DASHBOARD</a:t>
          </a:r>
        </a:p>
      </xdr:txBody>
    </xdr:sp>
    <xdr:clientData/>
  </xdr:twoCellAnchor>
  <xdr:twoCellAnchor>
    <xdr:from>
      <xdr:col>8</xdr:col>
      <xdr:colOff>217715</xdr:colOff>
      <xdr:row>15</xdr:row>
      <xdr:rowOff>57145</xdr:rowOff>
    </xdr:from>
    <xdr:to>
      <xdr:col>11</xdr:col>
      <xdr:colOff>123418</xdr:colOff>
      <xdr:row>19</xdr:row>
      <xdr:rowOff>72385</xdr:rowOff>
    </xdr:to>
    <xdr:sp macro="" textlink="">
      <xdr:nvSpPr>
        <xdr:cNvPr id="8" name="Rounded Rectangle 3">
          <a:extLst>
            <a:ext uri="{FF2B5EF4-FFF2-40B4-BE49-F238E27FC236}">
              <a16:creationId xmlns:a16="http://schemas.microsoft.com/office/drawing/2014/main" id="{7BF1F24E-9F34-40C4-BFC9-CB91288E3548}"/>
            </a:ext>
          </a:extLst>
        </xdr:cNvPr>
        <xdr:cNvSpPr/>
      </xdr:nvSpPr>
      <xdr:spPr>
        <a:xfrm>
          <a:off x="5007429" y="2533645"/>
          <a:ext cx="1701846" cy="777240"/>
        </a:xfrm>
        <a:prstGeom prst="roundRect">
          <a:avLst/>
        </a:prstGeom>
        <a:solidFill>
          <a:srgbClr val="663300"/>
        </a:solidFill>
        <a:ln>
          <a:noFill/>
        </a:ln>
        <a:scene3d>
          <a:camera prst="obliqueTopLef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8</xdr:col>
      <xdr:colOff>194582</xdr:colOff>
      <xdr:row>16</xdr:row>
      <xdr:rowOff>87767</xdr:rowOff>
    </xdr:from>
    <xdr:to>
      <xdr:col>11</xdr:col>
      <xdr:colOff>54565</xdr:colOff>
      <xdr:row>19</xdr:row>
      <xdr:rowOff>9187</xdr:rowOff>
    </xdr:to>
    <xdr:sp macro="" textlink="Analysis!J8">
      <xdr:nvSpPr>
        <xdr:cNvPr id="24" name="Rectangle 23">
          <a:extLst>
            <a:ext uri="{FF2B5EF4-FFF2-40B4-BE49-F238E27FC236}">
              <a16:creationId xmlns:a16="http://schemas.microsoft.com/office/drawing/2014/main" id="{65ABD9E9-9AD4-4CAB-BEFB-A952059D0964}"/>
            </a:ext>
          </a:extLst>
        </xdr:cNvPr>
        <xdr:cNvSpPr/>
      </xdr:nvSpPr>
      <xdr:spPr>
        <a:xfrm>
          <a:off x="4984296" y="2754767"/>
          <a:ext cx="1656126" cy="4929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scene3d>
            <a:camera prst="orthographicFront"/>
            <a:lightRig rig="threePt" dir="t"/>
          </a:scene3d>
          <a:sp3d extrusionH="57150">
            <a:bevelT w="38100" h="38100"/>
          </a:sp3d>
        </a:bodyPr>
        <a:lstStyle/>
        <a:p>
          <a:pPr algn="ctr"/>
          <a:fld id="{7301BD90-CFBB-41B2-A0A9-14CC0FF5422E}" type="TxLink">
            <a:rPr lang="en-US" sz="2800" b="1" i="0" u="none" strike="noStrike">
              <a:ln>
                <a:noFill/>
              </a:ln>
              <a:solidFill>
                <a:srgbClr val="FFC000"/>
              </a:solidFill>
              <a:latin typeface="Calibri"/>
              <a:cs typeface="Calibri"/>
            </a:rPr>
            <a:pPr algn="ctr"/>
            <a:t> $146,642 </a:t>
          </a:fld>
          <a:endParaRPr lang="en-US" sz="2800" b="1">
            <a:ln>
              <a:noFill/>
            </a:ln>
            <a:solidFill>
              <a:srgbClr val="FFC000"/>
            </a:solidFill>
            <a:latin typeface="Rockwell Extra Bold" panose="02060903040505020403" pitchFamily="18" charset="0"/>
          </a:endParaRPr>
        </a:p>
      </xdr:txBody>
    </xdr:sp>
    <xdr:clientData/>
  </xdr:twoCellAnchor>
  <xdr:twoCellAnchor>
    <xdr:from>
      <xdr:col>8</xdr:col>
      <xdr:colOff>186418</xdr:colOff>
      <xdr:row>15</xdr:row>
      <xdr:rowOff>29938</xdr:rowOff>
    </xdr:from>
    <xdr:to>
      <xdr:col>11</xdr:col>
      <xdr:colOff>43543</xdr:colOff>
      <xdr:row>17</xdr:row>
      <xdr:rowOff>41844</xdr:rowOff>
    </xdr:to>
    <xdr:sp macro="" textlink="">
      <xdr:nvSpPr>
        <xdr:cNvPr id="25" name="Rectangle 24">
          <a:extLst>
            <a:ext uri="{FF2B5EF4-FFF2-40B4-BE49-F238E27FC236}">
              <a16:creationId xmlns:a16="http://schemas.microsoft.com/office/drawing/2014/main" id="{38D939D2-F45B-498D-BE92-50C8013A1FE6}"/>
            </a:ext>
          </a:extLst>
        </xdr:cNvPr>
        <xdr:cNvSpPr/>
      </xdr:nvSpPr>
      <xdr:spPr>
        <a:xfrm>
          <a:off x="4976132" y="2506438"/>
          <a:ext cx="1653268" cy="3929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chemeClr val="bg1"/>
              </a:solidFill>
              <a:latin typeface="Rockwell Extra Bold" panose="02060903040505020403" pitchFamily="18" charset="0"/>
            </a:rPr>
            <a:t>Profit</a:t>
          </a:r>
        </a:p>
      </xdr:txBody>
    </xdr:sp>
    <xdr:clientData/>
  </xdr:twoCellAnchor>
  <xdr:twoCellAnchor>
    <xdr:from>
      <xdr:col>7</xdr:col>
      <xdr:colOff>489857</xdr:colOff>
      <xdr:row>8</xdr:row>
      <xdr:rowOff>54429</xdr:rowOff>
    </xdr:from>
    <xdr:to>
      <xdr:col>7</xdr:col>
      <xdr:colOff>544286</xdr:colOff>
      <xdr:row>32</xdr:row>
      <xdr:rowOff>68036</xdr:rowOff>
    </xdr:to>
    <xdr:cxnSp macro="">
      <xdr:nvCxnSpPr>
        <xdr:cNvPr id="18" name="Straight Connector 17">
          <a:extLst>
            <a:ext uri="{FF2B5EF4-FFF2-40B4-BE49-F238E27FC236}">
              <a16:creationId xmlns:a16="http://schemas.microsoft.com/office/drawing/2014/main" id="{954C6035-127B-107D-E3C5-24D3D06509D2}"/>
            </a:ext>
          </a:extLst>
        </xdr:cNvPr>
        <xdr:cNvCxnSpPr/>
      </xdr:nvCxnSpPr>
      <xdr:spPr>
        <a:xfrm flipH="1">
          <a:off x="4680857" y="1197429"/>
          <a:ext cx="54429" cy="4585607"/>
        </a:xfrm>
        <a:prstGeom prst="line">
          <a:avLst/>
        </a:prstGeom>
        <a:ln>
          <a:solidFill>
            <a:srgbClr val="6633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342901</xdr:colOff>
      <xdr:row>4</xdr:row>
      <xdr:rowOff>54426</xdr:rowOff>
    </xdr:from>
    <xdr:to>
      <xdr:col>11</xdr:col>
      <xdr:colOff>408215</xdr:colOff>
      <xdr:row>31</xdr:row>
      <xdr:rowOff>179611</xdr:rowOff>
    </xdr:to>
    <xdr:cxnSp macro="">
      <xdr:nvCxnSpPr>
        <xdr:cNvPr id="26" name="Straight Connector 25">
          <a:extLst>
            <a:ext uri="{FF2B5EF4-FFF2-40B4-BE49-F238E27FC236}">
              <a16:creationId xmlns:a16="http://schemas.microsoft.com/office/drawing/2014/main" id="{ABC200AF-E294-46A2-85E3-0CB5A8309371}"/>
            </a:ext>
          </a:extLst>
        </xdr:cNvPr>
        <xdr:cNvCxnSpPr/>
      </xdr:nvCxnSpPr>
      <xdr:spPr>
        <a:xfrm flipH="1">
          <a:off x="6928758" y="435426"/>
          <a:ext cx="65314" cy="5268685"/>
        </a:xfrm>
        <a:prstGeom prst="line">
          <a:avLst/>
        </a:prstGeom>
        <a:ln>
          <a:solidFill>
            <a:srgbClr val="6633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68.591067476897" createdVersion="3" refreshedVersion="3" minRefreshableVersion="3" recordCount="245" xr:uid="{00000000-000A-0000-FFFF-FFFF00000000}">
  <cacheSource type="worksheet">
    <worksheetSource name="Table1"/>
  </cacheSource>
  <cacheFields count="21">
    <cacheField name="Product ID" numFmtId="0">
      <sharedItems containsSemiMixedTypes="0" containsString="0" containsNumber="1" containsInteger="1" minValue="1001" maxValue="1245" count="245">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sharedItems>
    </cacheField>
    <cacheField name="Order ID" numFmtId="0">
      <sharedItems containsSemiMixedTypes="0" containsString="0" containsNumber="1" containsInteger="1" minValue="2001" maxValue="2108" count="48">
        <n v="2001"/>
        <n v="2002"/>
        <n v="2003"/>
        <n v="2004"/>
        <n v="2005"/>
        <n v="2006"/>
        <n v="2007"/>
        <n v="2008"/>
        <n v="2021"/>
        <n v="2022"/>
        <n v="2023"/>
        <n v="2024"/>
        <n v="2025"/>
        <n v="2026"/>
        <n v="2027"/>
        <n v="2028"/>
        <n v="2041"/>
        <n v="2042"/>
        <n v="2043"/>
        <n v="2044"/>
        <n v="2045"/>
        <n v="2046"/>
        <n v="2047"/>
        <n v="2048"/>
        <n v="2061"/>
        <n v="2062"/>
        <n v="2063"/>
        <n v="2064"/>
        <n v="2065"/>
        <n v="2066"/>
        <n v="2067"/>
        <n v="2068"/>
        <n v="2081"/>
        <n v="2082"/>
        <n v="2083"/>
        <n v="2084"/>
        <n v="2085"/>
        <n v="2086"/>
        <n v="2087"/>
        <n v="2088"/>
        <n v="2101"/>
        <n v="2102"/>
        <n v="2103"/>
        <n v="2104"/>
        <n v="2105"/>
        <n v="2106"/>
        <n v="2107"/>
        <n v="2108"/>
      </sharedItems>
    </cacheField>
    <cacheField name="Product Name" numFmtId="0">
      <sharedItems containsNonDate="0"/>
    </cacheField>
    <cacheField name="Product Description" numFmtId="0">
      <sharedItems containsNonDate="0"/>
    </cacheField>
    <cacheField name="Product Category" numFmtId="0">
      <sharedItems count="7">
        <s v="MOUNTAIN BIKES"/>
        <s v="ROAD BIKES"/>
        <s v="TOURING BIKES"/>
        <s v="E-BIKES"/>
        <s v="HYBRID BIKES"/>
        <s v="KIDS BIKES"/>
        <s v="BMX BIKES"/>
      </sharedItems>
    </cacheField>
    <cacheField name="Product Subcategory" numFmtId="0">
      <sharedItems containsNonDate="0"/>
    </cacheField>
    <cacheField name="Product Size" numFmtId="0">
      <sharedItems containsNonDate="0"/>
    </cacheField>
    <cacheField name="Product Weight" numFmtId="0">
      <sharedItems containsSemiMixedTypes="0" containsNonDate="0" containsString="0" containsNumber="1" containsInteger="1" minValue="9" maxValue="42"/>
    </cacheField>
    <cacheField name="Customer ID" numFmtId="0">
      <sharedItems containsSemiMixedTypes="0" containsString="0" containsNumber="1" containsInteger="1" minValue="3001" maxValue="3108" count="48">
        <n v="3001"/>
        <n v="3002"/>
        <n v="3003"/>
        <n v="3004"/>
        <n v="3005"/>
        <n v="3006"/>
        <n v="3007"/>
        <n v="3008"/>
        <n v="3021"/>
        <n v="3022"/>
        <n v="3023"/>
        <n v="3024"/>
        <n v="3025"/>
        <n v="3026"/>
        <n v="3027"/>
        <n v="3028"/>
        <n v="3041"/>
        <n v="3042"/>
        <n v="3043"/>
        <n v="3044"/>
        <n v="3045"/>
        <n v="3046"/>
        <n v="3047"/>
        <n v="3048"/>
        <n v="3061"/>
        <n v="3062"/>
        <n v="3063"/>
        <n v="3064"/>
        <n v="3065"/>
        <n v="3066"/>
        <n v="3067"/>
        <n v="3068"/>
        <n v="3081"/>
        <n v="3082"/>
        <n v="3083"/>
        <n v="3084"/>
        <n v="3085"/>
        <n v="3086"/>
        <n v="3087"/>
        <n v="3088"/>
        <n v="3101"/>
        <n v="3102"/>
        <n v="3103"/>
        <n v="3104"/>
        <n v="3105"/>
        <n v="3106"/>
        <n v="3107"/>
        <n v="3108"/>
      </sharedItems>
    </cacheField>
    <cacheField name="Order Date" numFmtId="167">
      <sharedItems containsSemiMixedTypes="0" containsNonDate="0" containsDate="1" containsString="0" minDate="2022-01-01T00:00:00" maxDate="2023-03-29T00:00:00"/>
    </cacheField>
    <cacheField name="Month" numFmtId="167">
      <sharedItems count="3">
        <s v="Mar"/>
        <s v="Feb"/>
        <s v="Jan"/>
      </sharedItems>
    </cacheField>
    <cacheField name="Year" numFmtId="0">
      <sharedItems containsSemiMixedTypes="0" containsString="0" containsNumber="1" containsInteger="1" minValue="2022" maxValue="2023" count="2">
        <n v="2023"/>
        <n v="2022"/>
      </sharedItems>
    </cacheField>
    <cacheField name="Wholesale Price" numFmtId="165">
      <sharedItems containsSemiMixedTypes="0" containsNonDate="0" containsString="0" containsNumber="1" containsInteger="1" minValue="90" maxValue="2625"/>
    </cacheField>
    <cacheField name="Retail Price" numFmtId="165">
      <sharedItems containsSemiMixedTypes="0" containsNonDate="0" containsString="0" containsNumber="1" containsInteger="1" minValue="150" maxValue="3700"/>
    </cacheField>
    <cacheField name="Order Quantity" numFmtId="0">
      <sharedItems containsSemiMixedTypes="0" containsNonDate="0" containsString="0" containsNumber="1" containsInteger="1" minValue="1" maxValue="3"/>
    </cacheField>
    <cacheField name=" Total (Before Tax)" numFmtId="44">
      <sharedItems containsSemiMixedTypes="0" containsString="0" containsNumber="1" containsInteger="1" minValue="200" maxValue="8400" count="32">
        <n v="2400"/>
        <n v="1500"/>
        <n v="5400"/>
        <n v="2100"/>
        <n v="2600"/>
        <n v="1600"/>
        <n v="4400"/>
        <n v="2500"/>
        <n v="2200"/>
        <n v="1400"/>
        <n v="5100"/>
        <n v="2000"/>
        <n v="3000"/>
        <n v="1800"/>
        <n v="4600"/>
        <n v="5700"/>
        <n v="4000"/>
        <n v="2300"/>
        <n v="6000"/>
        <n v="3500"/>
        <n v="6400"/>
        <n v="3700"/>
        <n v="8400"/>
        <n v="3200"/>
        <n v="5800"/>
        <n v="3300"/>
        <n v="300"/>
        <n v="200"/>
        <n v="1200"/>
        <n v="600"/>
        <n v="3600"/>
        <n v="4200"/>
      </sharedItems>
    </cacheField>
    <cacheField name="Tax Due" numFmtId="165">
      <sharedItems containsNonDate="0" containsString="0" containsBlank="1"/>
    </cacheField>
    <cacheField name="Order Total" numFmtId="165">
      <sharedItems containsSemiMixedTypes="0" containsString="0" containsNumber="1" containsInteger="1" minValue="200" maxValue="8400" count="32">
        <n v="2400"/>
        <n v="1500"/>
        <n v="5400"/>
        <n v="2100"/>
        <n v="2600"/>
        <n v="1600"/>
        <n v="4400"/>
        <n v="2500"/>
        <n v="2200"/>
        <n v="1400"/>
        <n v="5100"/>
        <n v="2000"/>
        <n v="3000"/>
        <n v="1800"/>
        <n v="4600"/>
        <n v="5700"/>
        <n v="4000"/>
        <n v="2300"/>
        <n v="6000"/>
        <n v="3500"/>
        <n v="6400"/>
        <n v="3700"/>
        <n v="8400"/>
        <n v="3200"/>
        <n v="5800"/>
        <n v="3300"/>
        <n v="300"/>
        <n v="200"/>
        <n v="1200"/>
        <n v="600"/>
        <n v="3600"/>
        <n v="4200"/>
      </sharedItems>
    </cacheField>
    <cacheField name="Payment Method" numFmtId="0">
      <sharedItems count="2">
        <s v="Credit Card"/>
        <s v="PayPal"/>
      </sharedItems>
    </cacheField>
    <cacheField name="Order Status" numFmtId="0">
      <sharedItems count="3">
        <s v="Shipped"/>
        <s v="Processing"/>
        <s v="Cancelled"/>
      </sharedItems>
    </cacheField>
    <cacheField name="Profit" numFmtId="0" formula="'Retail Price'-'Wholesale Price'"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x v="0"/>
    <x v="0"/>
    <s v="TrailBlazer 1000"/>
    <s v="Lightweight and versatile"/>
    <x v="0"/>
    <s v="Cross Country"/>
    <s v="M"/>
    <n v="25"/>
    <x v="0"/>
    <d v="2023-03-01T00:00:00"/>
    <x v="0"/>
    <x v="0"/>
    <n v="840"/>
    <n v="1200"/>
    <n v="2"/>
    <x v="0"/>
    <m/>
    <x v="0"/>
    <x v="0"/>
    <x v="0"/>
  </r>
  <r>
    <x v="1"/>
    <x v="1"/>
    <s v="TrailBlazer 2000"/>
    <s v="High-performance mountain bike"/>
    <x v="0"/>
    <s v="Cross Country"/>
    <s v="L"/>
    <n v="22"/>
    <x v="1"/>
    <d v="2023-03-02T00:00:00"/>
    <x v="0"/>
    <x v="0"/>
    <n v="1050"/>
    <n v="1500"/>
    <n v="1"/>
    <x v="1"/>
    <m/>
    <x v="1"/>
    <x v="1"/>
    <x v="1"/>
  </r>
  <r>
    <x v="2"/>
    <x v="2"/>
    <s v="SpeedMaster 1000"/>
    <s v="Agile and aerodynamic road bike"/>
    <x v="1"/>
    <s v="Racing"/>
    <s v="M"/>
    <n v="18"/>
    <x v="2"/>
    <d v="2023-03-03T00:00:00"/>
    <x v="0"/>
    <x v="0"/>
    <n v="1260"/>
    <n v="1800"/>
    <n v="3"/>
    <x v="2"/>
    <m/>
    <x v="2"/>
    <x v="0"/>
    <x v="2"/>
  </r>
  <r>
    <x v="3"/>
    <x v="3"/>
    <s v="SpeedMaster 2000"/>
    <s v="Premium racing road bike"/>
    <x v="1"/>
    <s v="Racing"/>
    <s v="L"/>
    <n v="16"/>
    <x v="3"/>
    <d v="2023-03-04T00:00:00"/>
    <x v="0"/>
    <x v="0"/>
    <n v="1470"/>
    <n v="2100"/>
    <n v="1"/>
    <x v="3"/>
    <m/>
    <x v="3"/>
    <x v="0"/>
    <x v="0"/>
  </r>
  <r>
    <x v="4"/>
    <x v="4"/>
    <s v="Explorer 1000"/>
    <s v="Comfortable and durable touring bike"/>
    <x v="2"/>
    <s v="Long Distance"/>
    <s v="M"/>
    <n v="27"/>
    <x v="4"/>
    <d v="2023-03-05T00:00:00"/>
    <x v="0"/>
    <x v="0"/>
    <n v="897"/>
    <n v="1300"/>
    <n v="2"/>
    <x v="4"/>
    <m/>
    <x v="4"/>
    <x v="1"/>
    <x v="1"/>
  </r>
  <r>
    <x v="5"/>
    <x v="5"/>
    <s v="Explorer 2000"/>
    <s v="Advanced touring bike"/>
    <x v="2"/>
    <s v="Long Distance"/>
    <s v="L"/>
    <n v="24"/>
    <x v="5"/>
    <d v="2023-03-06T00:00:00"/>
    <x v="0"/>
    <x v="0"/>
    <n v="1104"/>
    <n v="1600"/>
    <n v="1"/>
    <x v="5"/>
    <m/>
    <x v="5"/>
    <x v="0"/>
    <x v="0"/>
  </r>
  <r>
    <x v="6"/>
    <x v="6"/>
    <s v="GravityMaster 1000"/>
    <s v="Rugged and durable downhill bike"/>
    <x v="0"/>
    <s v="Downhill"/>
    <s v="M"/>
    <n v="29"/>
    <x v="6"/>
    <d v="2023-03-07T00:00:00"/>
    <x v="0"/>
    <x v="0"/>
    <n v="1496"/>
    <n v="2200"/>
    <n v="2"/>
    <x v="6"/>
    <m/>
    <x v="6"/>
    <x v="1"/>
    <x v="0"/>
  </r>
  <r>
    <x v="7"/>
    <x v="7"/>
    <s v="GravityMaster 2000"/>
    <s v="Extreme downhill performance"/>
    <x v="0"/>
    <s v="Downhill"/>
    <s v="L"/>
    <n v="27"/>
    <x v="7"/>
    <d v="2023-03-08T00:00:00"/>
    <x v="0"/>
    <x v="0"/>
    <n v="1700"/>
    <n v="2500"/>
    <n v="1"/>
    <x v="7"/>
    <m/>
    <x v="7"/>
    <x v="0"/>
    <x v="1"/>
  </r>
  <r>
    <x v="8"/>
    <x v="8"/>
    <s v="Pathfinder 1000"/>
    <s v="Agile trail bike for all skill levels"/>
    <x v="0"/>
    <s v="Trail"/>
    <s v="M"/>
    <n v="24"/>
    <x v="8"/>
    <d v="2023-03-21T00:00:00"/>
    <x v="0"/>
    <x v="0"/>
    <n v="737"/>
    <n v="1100"/>
    <n v="2"/>
    <x v="8"/>
    <m/>
    <x v="8"/>
    <x v="0"/>
    <x v="0"/>
  </r>
  <r>
    <x v="9"/>
    <x v="9"/>
    <s v="Pathfinder 2000"/>
    <s v="High-performance trail bike"/>
    <x v="0"/>
    <s v="Trail"/>
    <s v="L"/>
    <n v="21"/>
    <x v="9"/>
    <d v="2023-03-22T00:00:00"/>
    <x v="0"/>
    <x v="0"/>
    <n v="938"/>
    <n v="1400"/>
    <n v="1"/>
    <x v="9"/>
    <m/>
    <x v="9"/>
    <x v="1"/>
    <x v="1"/>
  </r>
  <r>
    <x v="10"/>
    <x v="10"/>
    <s v="Voyager 1000"/>
    <s v="Comfortable touring road bike"/>
    <x v="1"/>
    <s v="Touring"/>
    <s v="M"/>
    <n v="20"/>
    <x v="10"/>
    <d v="2023-03-23T00:00:00"/>
    <x v="0"/>
    <x v="0"/>
    <n v="1190"/>
    <n v="1700"/>
    <n v="3"/>
    <x v="10"/>
    <m/>
    <x v="10"/>
    <x v="0"/>
    <x v="2"/>
  </r>
  <r>
    <x v="11"/>
    <x v="11"/>
    <s v="Voyager 2000"/>
    <s v="Advanced touring road bike"/>
    <x v="1"/>
    <s v="Touring"/>
    <s v="L"/>
    <n v="18"/>
    <x v="11"/>
    <d v="2023-03-24T00:00:00"/>
    <x v="0"/>
    <x v="0"/>
    <n v="1400"/>
    <n v="2000"/>
    <n v="1"/>
    <x v="11"/>
    <m/>
    <x v="11"/>
    <x v="0"/>
    <x v="0"/>
  </r>
  <r>
    <x v="12"/>
    <x v="12"/>
    <s v="Adventurer 1000"/>
    <s v="Durable bike for long adventures"/>
    <x v="2"/>
    <s v="Adventure"/>
    <s v="M"/>
    <n v="28"/>
    <x v="12"/>
    <d v="2023-03-25T00:00:00"/>
    <x v="0"/>
    <x v="0"/>
    <n v="975"/>
    <n v="1500"/>
    <n v="2"/>
    <x v="12"/>
    <m/>
    <x v="12"/>
    <x v="1"/>
    <x v="1"/>
  </r>
  <r>
    <x v="13"/>
    <x v="13"/>
    <s v="Adventurer 2000"/>
    <s v="Premium adventure touring bike"/>
    <x v="2"/>
    <s v="Adventure"/>
    <s v="L"/>
    <n v="26"/>
    <x v="13"/>
    <d v="2023-03-26T00:00:00"/>
    <x v="0"/>
    <x v="0"/>
    <n v="1170"/>
    <n v="1800"/>
    <n v="1"/>
    <x v="13"/>
    <m/>
    <x v="13"/>
    <x v="0"/>
    <x v="0"/>
  </r>
  <r>
    <x v="14"/>
    <x v="14"/>
    <s v="EnduroMaster 1000"/>
    <s v="Endurance-focused mountain bike"/>
    <x v="0"/>
    <s v="Enduro"/>
    <s v="M"/>
    <n v="30"/>
    <x v="14"/>
    <d v="2023-03-27T00:00:00"/>
    <x v="0"/>
    <x v="0"/>
    <n v="1656"/>
    <n v="2300"/>
    <n v="2"/>
    <x v="14"/>
    <m/>
    <x v="14"/>
    <x v="1"/>
    <x v="0"/>
  </r>
  <r>
    <x v="15"/>
    <x v="15"/>
    <s v="EnduroMaster 2000"/>
    <s v="High-performance enduro mountain bike"/>
    <x v="0"/>
    <s v="Enduro"/>
    <s v="L"/>
    <n v="28"/>
    <x v="15"/>
    <d v="2023-03-28T00:00:00"/>
    <x v="0"/>
    <x v="0"/>
    <n v="1872"/>
    <n v="1600"/>
    <n v="1"/>
    <x v="5"/>
    <m/>
    <x v="5"/>
    <x v="0"/>
    <x v="1"/>
  </r>
  <r>
    <x v="16"/>
    <x v="16"/>
    <s v="FatTrail 1000"/>
    <s v="All-terrain fat bike"/>
    <x v="0"/>
    <s v="Fat Bikes"/>
    <s v="M"/>
    <n v="32"/>
    <x v="16"/>
    <d v="2023-03-11T00:00:00"/>
    <x v="0"/>
    <x v="0"/>
    <n v="780"/>
    <n v="1300"/>
    <n v="2"/>
    <x v="4"/>
    <m/>
    <x v="4"/>
    <x v="0"/>
    <x v="0"/>
  </r>
  <r>
    <x v="17"/>
    <x v="17"/>
    <s v="FatTrail 2000"/>
    <s v="High-performance fat bike"/>
    <x v="0"/>
    <s v="Fat Bikes"/>
    <s v="L"/>
    <n v="29"/>
    <x v="17"/>
    <d v="2023-03-12T00:00:00"/>
    <x v="0"/>
    <x v="0"/>
    <n v="960"/>
    <n v="1600"/>
    <n v="1"/>
    <x v="5"/>
    <m/>
    <x v="5"/>
    <x v="1"/>
    <x v="1"/>
  </r>
  <r>
    <x v="18"/>
    <x v="18"/>
    <s v="CrossRider 1000"/>
    <s v="Versatile cyclocross bike"/>
    <x v="1"/>
    <s v="Cyclocross"/>
    <s v="M"/>
    <n v="21"/>
    <x v="18"/>
    <d v="2023-03-13T00:00:00"/>
    <x v="0"/>
    <x v="0"/>
    <n v="1292"/>
    <n v="1900"/>
    <n v="3"/>
    <x v="15"/>
    <m/>
    <x v="15"/>
    <x v="0"/>
    <x v="2"/>
  </r>
  <r>
    <x v="19"/>
    <x v="19"/>
    <s v="CrossRider 2000"/>
    <s v="Advanced cyclocross bike"/>
    <x v="1"/>
    <s v="Cyclocross"/>
    <s v="L"/>
    <n v="19"/>
    <x v="19"/>
    <d v="2023-03-14T00:00:00"/>
    <x v="0"/>
    <x v="0"/>
    <n v="1496"/>
    <n v="2200"/>
    <n v="1"/>
    <x v="8"/>
    <m/>
    <x v="8"/>
    <x v="0"/>
    <x v="0"/>
  </r>
  <r>
    <x v="20"/>
    <x v="20"/>
    <s v="DuoExplorer 1000"/>
    <s v="Comfortable tandem touring bike"/>
    <x v="2"/>
    <s v="Tandem"/>
    <s v="M"/>
    <n v="36"/>
    <x v="20"/>
    <d v="2023-03-15T00:00:00"/>
    <x v="0"/>
    <x v="0"/>
    <n v="1340"/>
    <n v="2000"/>
    <n v="2"/>
    <x v="16"/>
    <m/>
    <x v="16"/>
    <x v="1"/>
    <x v="1"/>
  </r>
  <r>
    <x v="21"/>
    <x v="21"/>
    <s v="DuoExplorer 2000"/>
    <s v="High-performance tandem touring bike"/>
    <x v="2"/>
    <s v="Tandem"/>
    <s v="L"/>
    <n v="34"/>
    <x v="21"/>
    <d v="2023-03-16T00:00:00"/>
    <x v="0"/>
    <x v="0"/>
    <n v="1541"/>
    <n v="2300"/>
    <n v="1"/>
    <x v="17"/>
    <m/>
    <x v="17"/>
    <x v="0"/>
    <x v="0"/>
  </r>
  <r>
    <x v="22"/>
    <x v="22"/>
    <s v="E-Mountain 1000"/>
    <s v="Electric mountain bike"/>
    <x v="0"/>
    <s v="Electric"/>
    <s v="M"/>
    <n v="40"/>
    <x v="22"/>
    <d v="2023-03-17T00:00:00"/>
    <x v="0"/>
    <x v="0"/>
    <n v="2250"/>
    <n v="3000"/>
    <n v="2"/>
    <x v="18"/>
    <m/>
    <x v="18"/>
    <x v="1"/>
    <x v="0"/>
  </r>
  <r>
    <x v="23"/>
    <x v="23"/>
    <s v="E-Mountain 2000"/>
    <s v="High-performance electric mountain bike"/>
    <x v="0"/>
    <s v="Electric"/>
    <s v="L"/>
    <n v="38"/>
    <x v="23"/>
    <d v="2023-03-18T00:00:00"/>
    <x v="0"/>
    <x v="0"/>
    <n v="2625"/>
    <n v="3500"/>
    <n v="1"/>
    <x v="19"/>
    <m/>
    <x v="19"/>
    <x v="0"/>
    <x v="1"/>
  </r>
  <r>
    <x v="24"/>
    <x v="24"/>
    <s v="UrbanEco 1000"/>
    <s v="Eco-friendly electric city bike"/>
    <x v="3"/>
    <s v="City"/>
    <s v="M"/>
    <n v="35"/>
    <x v="24"/>
    <d v="2023-03-01T00:00:00"/>
    <x v="0"/>
    <x v="0"/>
    <n v="1460"/>
    <n v="2000"/>
    <n v="2"/>
    <x v="16"/>
    <m/>
    <x v="16"/>
    <x v="0"/>
    <x v="0"/>
  </r>
  <r>
    <x v="25"/>
    <x v="25"/>
    <s v="UrbanEco 2000"/>
    <s v="High-performance electric city bike"/>
    <x v="3"/>
    <s v="City"/>
    <s v="L"/>
    <n v="33"/>
    <x v="25"/>
    <d v="2023-03-02T00:00:00"/>
    <x v="0"/>
    <x v="0"/>
    <n v="1825"/>
    <n v="2500"/>
    <n v="1"/>
    <x v="7"/>
    <m/>
    <x v="7"/>
    <x v="1"/>
    <x v="1"/>
  </r>
  <r>
    <x v="26"/>
    <x v="26"/>
    <s v="GravelMaster 1000"/>
    <s v="All-terrain gravel bike"/>
    <x v="1"/>
    <s v="Gravel"/>
    <s v="M"/>
    <n v="22"/>
    <x v="26"/>
    <d v="2023-03-03T00:00:00"/>
    <x v="0"/>
    <x v="0"/>
    <n v="1105"/>
    <n v="1700"/>
    <n v="3"/>
    <x v="10"/>
    <m/>
    <x v="10"/>
    <x v="0"/>
    <x v="2"/>
  </r>
  <r>
    <x v="27"/>
    <x v="27"/>
    <s v="GravelMaster 2000"/>
    <s v="High-performance gravel bike"/>
    <x v="1"/>
    <s v="Gravel"/>
    <s v="L"/>
    <n v="20"/>
    <x v="27"/>
    <d v="2023-03-04T00:00:00"/>
    <x v="0"/>
    <x v="0"/>
    <n v="1365"/>
    <n v="2100"/>
    <n v="1"/>
    <x v="3"/>
    <m/>
    <x v="3"/>
    <x v="0"/>
    <x v="0"/>
  </r>
  <r>
    <x v="28"/>
    <x v="28"/>
    <s v="FoldAway 1000"/>
    <s v="Compact folding touring bike"/>
    <x v="2"/>
    <s v="Folding"/>
    <s v="M"/>
    <n v="30"/>
    <x v="28"/>
    <d v="2023-03-05T00:00:00"/>
    <x v="0"/>
    <x v="0"/>
    <n v="1035"/>
    <n v="1500"/>
    <n v="2"/>
    <x v="12"/>
    <m/>
    <x v="12"/>
    <x v="1"/>
    <x v="1"/>
  </r>
  <r>
    <x v="29"/>
    <x v="29"/>
    <s v="FoldAway 2000"/>
    <s v="Advanced folding touring bike"/>
    <x v="2"/>
    <s v="Folding"/>
    <s v="L"/>
    <n v="28"/>
    <x v="29"/>
    <d v="2023-03-06T00:00:00"/>
    <x v="0"/>
    <x v="0"/>
    <n v="1242"/>
    <n v="1800"/>
    <n v="1"/>
    <x v="13"/>
    <m/>
    <x v="13"/>
    <x v="0"/>
    <x v="0"/>
  </r>
  <r>
    <x v="30"/>
    <x v="30"/>
    <s v="E-TrailBlazer 1000"/>
    <s v="Electric mountain bike"/>
    <x v="3"/>
    <s v="Mountain"/>
    <s v="M"/>
    <n v="42"/>
    <x v="30"/>
    <d v="2023-03-07T00:00:00"/>
    <x v="0"/>
    <x v="0"/>
    <n v="2080"/>
    <n v="3200"/>
    <n v="2"/>
    <x v="20"/>
    <m/>
    <x v="20"/>
    <x v="1"/>
    <x v="0"/>
  </r>
  <r>
    <x v="31"/>
    <x v="31"/>
    <s v="E-TrailBlazer 2000"/>
    <s v="High-performance electric mountain bike"/>
    <x v="3"/>
    <s v="Mountain"/>
    <s v="L"/>
    <n v="40"/>
    <x v="31"/>
    <d v="2023-03-08T00:00:00"/>
    <x v="0"/>
    <x v="0"/>
    <n v="2405"/>
    <n v="3700"/>
    <n v="1"/>
    <x v="21"/>
    <m/>
    <x v="21"/>
    <x v="0"/>
    <x v="1"/>
  </r>
  <r>
    <x v="32"/>
    <x v="32"/>
    <s v="CommutePro 1000"/>
    <s v="Efficient commuter hybrid bike"/>
    <x v="4"/>
    <s v="Commuter"/>
    <s v="M"/>
    <n v="27"/>
    <x v="32"/>
    <d v="2023-02-19T00:00:00"/>
    <x v="1"/>
    <x v="0"/>
    <n v="720"/>
    <n v="1200"/>
    <n v="2"/>
    <x v="0"/>
    <m/>
    <x v="0"/>
    <x v="0"/>
    <x v="0"/>
  </r>
  <r>
    <x v="33"/>
    <x v="33"/>
    <s v="CommutePro 2000"/>
    <s v="High-performance commuter hybrid bike"/>
    <x v="4"/>
    <s v="Commuter"/>
    <s v="L"/>
    <n v="25"/>
    <x v="33"/>
    <d v="2023-02-20T00:00:00"/>
    <x v="1"/>
    <x v="0"/>
    <n v="900"/>
    <n v="1500"/>
    <n v="1"/>
    <x v="1"/>
    <m/>
    <x v="1"/>
    <x v="1"/>
    <x v="1"/>
  </r>
  <r>
    <x v="34"/>
    <x v="34"/>
    <s v="AeroSpeed 1000"/>
    <s v="Aerodynamic road bike"/>
    <x v="1"/>
    <s v="Aero"/>
    <s v="M"/>
    <n v="18"/>
    <x v="34"/>
    <d v="2023-02-21T00:00:00"/>
    <x v="1"/>
    <x v="0"/>
    <n v="1932"/>
    <n v="2800"/>
    <n v="3"/>
    <x v="22"/>
    <m/>
    <x v="22"/>
    <x v="0"/>
    <x v="2"/>
  </r>
  <r>
    <x v="35"/>
    <x v="35"/>
    <s v="AeroSpeed 2000"/>
    <s v="Advanced aerodynamic road bike"/>
    <x v="1"/>
    <s v="Aero"/>
    <s v="L"/>
    <n v="16"/>
    <x v="35"/>
    <d v="2023-02-22T00:00:00"/>
    <x v="1"/>
    <x v="0"/>
    <n v="2208"/>
    <n v="3200"/>
    <n v="1"/>
    <x v="23"/>
    <m/>
    <x v="23"/>
    <x v="0"/>
    <x v="0"/>
  </r>
  <r>
    <x v="36"/>
    <x v="36"/>
    <s v="ReclineRider 1000"/>
    <s v="Comfortable recumbent touring bike"/>
    <x v="2"/>
    <s v="Recumbent"/>
    <s v="M"/>
    <n v="33"/>
    <x v="36"/>
    <d v="2023-02-23T00:00:00"/>
    <x v="1"/>
    <x v="0"/>
    <n v="1500"/>
    <n v="2000"/>
    <n v="2"/>
    <x v="16"/>
    <m/>
    <x v="16"/>
    <x v="1"/>
    <x v="1"/>
  </r>
  <r>
    <x v="37"/>
    <x v="37"/>
    <s v="ReclineRider 2000"/>
    <s v="High-performance recumbent touring bike"/>
    <x v="2"/>
    <s v="Recumbent"/>
    <s v="L"/>
    <n v="30"/>
    <x v="37"/>
    <d v="2023-02-24T00:00:00"/>
    <x v="1"/>
    <x v="0"/>
    <n v="1800"/>
    <n v="2400"/>
    <n v="1"/>
    <x v="0"/>
    <m/>
    <x v="0"/>
    <x v="0"/>
    <x v="0"/>
  </r>
  <r>
    <x v="38"/>
    <x v="38"/>
    <s v="DownhillDominator 1000"/>
    <s v="Downhill mountain bike"/>
    <x v="0"/>
    <s v="Downhill"/>
    <s v="M"/>
    <n v="34"/>
    <x v="38"/>
    <d v="2023-02-25T00:00:00"/>
    <x v="1"/>
    <x v="0"/>
    <n v="2291"/>
    <n v="2900"/>
    <n v="2"/>
    <x v="24"/>
    <m/>
    <x v="24"/>
    <x v="1"/>
    <x v="0"/>
  </r>
  <r>
    <x v="39"/>
    <x v="39"/>
    <s v="DownhillDominator 2000"/>
    <s v="High-performance downhill mountain bike"/>
    <x v="0"/>
    <s v="Downhill"/>
    <s v="L"/>
    <n v="32"/>
    <x v="39"/>
    <d v="2023-02-26T00:00:00"/>
    <x v="1"/>
    <x v="0"/>
    <n v="2607"/>
    <n v="3300"/>
    <n v="1"/>
    <x v="25"/>
    <m/>
    <x v="25"/>
    <x v="1"/>
    <x v="1"/>
  </r>
  <r>
    <x v="40"/>
    <x v="40"/>
    <s v="LittleBalancer 1000"/>
    <s v="Starter balance bike for kids"/>
    <x v="5"/>
    <s v="Balance"/>
    <s v="M"/>
    <n v="10"/>
    <x v="40"/>
    <d v="2023-02-01T00:00:00"/>
    <x v="1"/>
    <x v="0"/>
    <n v="90"/>
    <n v="150"/>
    <n v="2"/>
    <x v="26"/>
    <m/>
    <x v="26"/>
    <x v="0"/>
    <x v="0"/>
  </r>
  <r>
    <x v="41"/>
    <x v="41"/>
    <s v="LittleBalancer 2000"/>
    <s v="Upgraded balance bike for kids"/>
    <x v="5"/>
    <s v="Balance"/>
    <s v="L"/>
    <n v="9"/>
    <x v="41"/>
    <d v="2023-02-02T00:00:00"/>
    <x v="1"/>
    <x v="0"/>
    <n v="120"/>
    <n v="200"/>
    <n v="1"/>
    <x v="27"/>
    <m/>
    <x v="27"/>
    <x v="1"/>
    <x v="1"/>
  </r>
  <r>
    <x v="42"/>
    <x v="42"/>
    <s v="FreestyleMaster 1000"/>
    <s v="Beginner freestyle BMX bike"/>
    <x v="6"/>
    <s v="Freestyle"/>
    <s v="M"/>
    <n v="25"/>
    <x v="42"/>
    <d v="2023-02-03T00:00:00"/>
    <x v="1"/>
    <x v="0"/>
    <n v="240"/>
    <n v="400"/>
    <n v="3"/>
    <x v="28"/>
    <m/>
    <x v="28"/>
    <x v="0"/>
    <x v="2"/>
  </r>
  <r>
    <x v="43"/>
    <x v="43"/>
    <s v="FreestyleMaster 2000"/>
    <s v="Advanced freestyle BMX bike"/>
    <x v="6"/>
    <s v="Freestyle"/>
    <s v="L"/>
    <n v="23"/>
    <x v="43"/>
    <d v="2023-02-04T00:00:00"/>
    <x v="1"/>
    <x v="0"/>
    <n v="360"/>
    <n v="600"/>
    <n v="1"/>
    <x v="29"/>
    <m/>
    <x v="29"/>
    <x v="0"/>
    <x v="0"/>
  </r>
  <r>
    <x v="44"/>
    <x v="44"/>
    <s v="XC-Rider 1000"/>
    <s v="Cross country mountain bike"/>
    <x v="0"/>
    <s v="Cross Country"/>
    <s v="M"/>
    <n v="29"/>
    <x v="44"/>
    <d v="2023-02-05T00:00:00"/>
    <x v="1"/>
    <x v="0"/>
    <n v="1296"/>
    <n v="1800"/>
    <n v="2"/>
    <x v="30"/>
    <m/>
    <x v="30"/>
    <x v="1"/>
    <x v="1"/>
  </r>
  <r>
    <x v="45"/>
    <x v="45"/>
    <s v="XC-Rider 2000"/>
    <s v="High-performance cross country bike"/>
    <x v="0"/>
    <s v="Cross Country"/>
    <s v="L"/>
    <n v="27"/>
    <x v="45"/>
    <d v="2023-02-06T00:00:00"/>
    <x v="1"/>
    <x v="0"/>
    <n v="1728"/>
    <n v="2400"/>
    <n v="1"/>
    <x v="0"/>
    <m/>
    <x v="0"/>
    <x v="0"/>
    <x v="0"/>
  </r>
  <r>
    <x v="46"/>
    <x v="46"/>
    <s v="EnduranceElite 1000"/>
    <s v="Endurance road bike"/>
    <x v="1"/>
    <s v="Endurance"/>
    <s v="M"/>
    <n v="20"/>
    <x v="46"/>
    <d v="2023-02-07T00:00:00"/>
    <x v="1"/>
    <x v="0"/>
    <n v="1491"/>
    <n v="2100"/>
    <n v="2"/>
    <x v="31"/>
    <m/>
    <x v="31"/>
    <x v="1"/>
    <x v="0"/>
  </r>
  <r>
    <x v="47"/>
    <x v="47"/>
    <s v="EnduranceElite 2000"/>
    <s v="High-performance endurance road bike"/>
    <x v="1"/>
    <s v="Endurance"/>
    <s v="L"/>
    <n v="18"/>
    <x v="47"/>
    <d v="2023-02-08T00:00:00"/>
    <x v="1"/>
    <x v="0"/>
    <n v="1846"/>
    <n v="2600"/>
    <n v="1"/>
    <x v="4"/>
    <m/>
    <x v="4"/>
    <x v="0"/>
    <x v="1"/>
  </r>
  <r>
    <x v="48"/>
    <x v="0"/>
    <s v="TrailBlazer 1000"/>
    <s v="Lightweight and versatile"/>
    <x v="0"/>
    <s v="Cross Country"/>
    <s v="M"/>
    <n v="25"/>
    <x v="0"/>
    <d v="2022-01-01T00:00:00"/>
    <x v="2"/>
    <x v="1"/>
    <n v="840"/>
    <n v="1200"/>
    <n v="2"/>
    <x v="0"/>
    <m/>
    <x v="0"/>
    <x v="0"/>
    <x v="0"/>
  </r>
  <r>
    <x v="49"/>
    <x v="1"/>
    <s v="TrailBlazer 2000"/>
    <s v="High-performance mountain bike"/>
    <x v="0"/>
    <s v="Cross Country"/>
    <s v="L"/>
    <n v="22"/>
    <x v="1"/>
    <d v="2022-01-02T00:00:00"/>
    <x v="2"/>
    <x v="1"/>
    <n v="1050"/>
    <n v="1500"/>
    <n v="1"/>
    <x v="1"/>
    <m/>
    <x v="1"/>
    <x v="1"/>
    <x v="1"/>
  </r>
  <r>
    <x v="50"/>
    <x v="2"/>
    <s v="SpeedMaster 1000"/>
    <s v="Agile and aerodynamic road bike"/>
    <x v="1"/>
    <s v="Racing"/>
    <s v="M"/>
    <n v="18"/>
    <x v="2"/>
    <d v="2022-01-03T00:00:00"/>
    <x v="2"/>
    <x v="1"/>
    <n v="1260"/>
    <n v="1800"/>
    <n v="3"/>
    <x v="2"/>
    <m/>
    <x v="2"/>
    <x v="0"/>
    <x v="2"/>
  </r>
  <r>
    <x v="51"/>
    <x v="3"/>
    <s v="SpeedMaster 2000"/>
    <s v="Premium racing road bike"/>
    <x v="1"/>
    <s v="Racing"/>
    <s v="L"/>
    <n v="16"/>
    <x v="3"/>
    <d v="2022-01-04T00:00:00"/>
    <x v="2"/>
    <x v="1"/>
    <n v="1470"/>
    <n v="2100"/>
    <n v="1"/>
    <x v="3"/>
    <m/>
    <x v="3"/>
    <x v="0"/>
    <x v="0"/>
  </r>
  <r>
    <x v="52"/>
    <x v="4"/>
    <s v="Explorer 1000"/>
    <s v="Comfortable and durable touring bike"/>
    <x v="2"/>
    <s v="Long Distance"/>
    <s v="M"/>
    <n v="27"/>
    <x v="4"/>
    <d v="2022-01-05T00:00:00"/>
    <x v="2"/>
    <x v="1"/>
    <n v="897"/>
    <n v="1300"/>
    <n v="2"/>
    <x v="4"/>
    <m/>
    <x v="4"/>
    <x v="1"/>
    <x v="1"/>
  </r>
  <r>
    <x v="53"/>
    <x v="5"/>
    <s v="Explorer 2000"/>
    <s v="Advanced touring bike"/>
    <x v="2"/>
    <s v="Long Distance"/>
    <s v="L"/>
    <n v="24"/>
    <x v="5"/>
    <d v="2022-01-06T00:00:00"/>
    <x v="2"/>
    <x v="1"/>
    <n v="1104"/>
    <n v="1600"/>
    <n v="1"/>
    <x v="5"/>
    <m/>
    <x v="5"/>
    <x v="0"/>
    <x v="0"/>
  </r>
  <r>
    <x v="54"/>
    <x v="20"/>
    <s v="DuoExplorer 1000"/>
    <s v="Comfortable tandem touring bike"/>
    <x v="2"/>
    <s v="Tandem"/>
    <s v="M"/>
    <n v="36"/>
    <x v="20"/>
    <d v="2022-01-15T00:00:00"/>
    <x v="2"/>
    <x v="1"/>
    <n v="1340"/>
    <n v="2000"/>
    <n v="2"/>
    <x v="16"/>
    <m/>
    <x v="16"/>
    <x v="1"/>
    <x v="1"/>
  </r>
  <r>
    <x v="55"/>
    <x v="21"/>
    <s v="DuoExplorer 2000"/>
    <s v="High-performance tandem touring bike"/>
    <x v="2"/>
    <s v="Tandem"/>
    <s v="L"/>
    <n v="34"/>
    <x v="21"/>
    <d v="2022-01-16T00:00:00"/>
    <x v="2"/>
    <x v="1"/>
    <n v="1541"/>
    <n v="2300"/>
    <n v="1"/>
    <x v="17"/>
    <m/>
    <x v="17"/>
    <x v="0"/>
    <x v="0"/>
  </r>
  <r>
    <x v="56"/>
    <x v="22"/>
    <s v="E-Mountain 1000"/>
    <s v="Electric mountain bike"/>
    <x v="0"/>
    <s v="Electric"/>
    <s v="M"/>
    <n v="40"/>
    <x v="22"/>
    <d v="2022-01-17T00:00:00"/>
    <x v="2"/>
    <x v="1"/>
    <n v="2250"/>
    <n v="3000"/>
    <n v="2"/>
    <x v="18"/>
    <m/>
    <x v="18"/>
    <x v="1"/>
    <x v="0"/>
  </r>
  <r>
    <x v="57"/>
    <x v="23"/>
    <s v="E-Mountain 2000"/>
    <s v="High-performance electric mountain bike"/>
    <x v="0"/>
    <s v="Electric"/>
    <s v="L"/>
    <n v="38"/>
    <x v="23"/>
    <d v="2022-01-18T00:00:00"/>
    <x v="2"/>
    <x v="1"/>
    <n v="2625"/>
    <n v="3500"/>
    <n v="1"/>
    <x v="19"/>
    <m/>
    <x v="19"/>
    <x v="0"/>
    <x v="1"/>
  </r>
  <r>
    <x v="58"/>
    <x v="24"/>
    <s v="UrbanEco 1000"/>
    <s v="Eco-friendly electric city bike"/>
    <x v="3"/>
    <s v="City"/>
    <s v="M"/>
    <n v="35"/>
    <x v="24"/>
    <d v="2022-01-01T00:00:00"/>
    <x v="2"/>
    <x v="1"/>
    <n v="1460"/>
    <n v="2000"/>
    <n v="2"/>
    <x v="16"/>
    <m/>
    <x v="16"/>
    <x v="0"/>
    <x v="0"/>
  </r>
  <r>
    <x v="59"/>
    <x v="25"/>
    <s v="UrbanEco 2000"/>
    <s v="High-performance electric city bike"/>
    <x v="3"/>
    <s v="City"/>
    <s v="L"/>
    <n v="33"/>
    <x v="25"/>
    <d v="2022-01-02T00:00:00"/>
    <x v="2"/>
    <x v="1"/>
    <n v="1825"/>
    <n v="2500"/>
    <n v="1"/>
    <x v="7"/>
    <m/>
    <x v="7"/>
    <x v="1"/>
    <x v="1"/>
  </r>
  <r>
    <x v="60"/>
    <x v="18"/>
    <s v="CrossRider 1000"/>
    <s v="Versatile cyclocross bike"/>
    <x v="1"/>
    <s v="Cyclocross"/>
    <s v="M"/>
    <n v="21"/>
    <x v="18"/>
    <d v="2022-01-13T00:00:00"/>
    <x v="2"/>
    <x v="1"/>
    <n v="1292"/>
    <n v="1900"/>
    <n v="3"/>
    <x v="15"/>
    <m/>
    <x v="15"/>
    <x v="0"/>
    <x v="2"/>
  </r>
  <r>
    <x v="61"/>
    <x v="19"/>
    <s v="CrossRider 2000"/>
    <s v="Advanced cyclocross bike"/>
    <x v="1"/>
    <s v="Cyclocross"/>
    <s v="L"/>
    <n v="19"/>
    <x v="19"/>
    <d v="2022-01-14T00:00:00"/>
    <x v="2"/>
    <x v="1"/>
    <n v="1496"/>
    <n v="2200"/>
    <n v="1"/>
    <x v="8"/>
    <m/>
    <x v="8"/>
    <x v="0"/>
    <x v="0"/>
  </r>
  <r>
    <x v="62"/>
    <x v="20"/>
    <s v="DuoExplorer 1000"/>
    <s v="Comfortable tandem touring bike"/>
    <x v="2"/>
    <s v="Tandem"/>
    <s v="M"/>
    <n v="36"/>
    <x v="20"/>
    <d v="2022-01-15T00:00:00"/>
    <x v="2"/>
    <x v="1"/>
    <n v="1340"/>
    <n v="2000"/>
    <n v="2"/>
    <x v="16"/>
    <m/>
    <x v="16"/>
    <x v="1"/>
    <x v="1"/>
  </r>
  <r>
    <x v="63"/>
    <x v="21"/>
    <s v="DuoExplorer 2000"/>
    <s v="High-performance tandem touring bike"/>
    <x v="2"/>
    <s v="Tandem"/>
    <s v="L"/>
    <n v="34"/>
    <x v="21"/>
    <d v="2022-01-16T00:00:00"/>
    <x v="2"/>
    <x v="1"/>
    <n v="1541"/>
    <n v="2300"/>
    <n v="1"/>
    <x v="17"/>
    <m/>
    <x v="17"/>
    <x v="0"/>
    <x v="0"/>
  </r>
  <r>
    <x v="64"/>
    <x v="0"/>
    <s v="TrailBlazer 1000"/>
    <s v="Lightweight and versatile"/>
    <x v="0"/>
    <s v="Cross Country"/>
    <s v="M"/>
    <n v="25"/>
    <x v="0"/>
    <d v="2022-01-01T00:00:00"/>
    <x v="2"/>
    <x v="1"/>
    <n v="840"/>
    <n v="1200"/>
    <n v="2"/>
    <x v="0"/>
    <m/>
    <x v="0"/>
    <x v="0"/>
    <x v="0"/>
  </r>
  <r>
    <x v="65"/>
    <x v="1"/>
    <s v="TrailBlazer 2000"/>
    <s v="High-performance mountain bike"/>
    <x v="0"/>
    <s v="Cross Country"/>
    <s v="L"/>
    <n v="22"/>
    <x v="1"/>
    <d v="2022-01-02T00:00:00"/>
    <x v="2"/>
    <x v="1"/>
    <n v="1050"/>
    <n v="1500"/>
    <n v="1"/>
    <x v="1"/>
    <m/>
    <x v="1"/>
    <x v="1"/>
    <x v="1"/>
  </r>
  <r>
    <x v="66"/>
    <x v="2"/>
    <s v="SpeedMaster 1000"/>
    <s v="Agile and aerodynamic road bike"/>
    <x v="1"/>
    <s v="Racing"/>
    <s v="M"/>
    <n v="18"/>
    <x v="2"/>
    <d v="2022-01-03T00:00:00"/>
    <x v="2"/>
    <x v="1"/>
    <n v="1260"/>
    <n v="1800"/>
    <n v="3"/>
    <x v="2"/>
    <m/>
    <x v="2"/>
    <x v="0"/>
    <x v="2"/>
  </r>
  <r>
    <x v="67"/>
    <x v="3"/>
    <s v="SpeedMaster 2000"/>
    <s v="Premium racing road bike"/>
    <x v="1"/>
    <s v="Racing"/>
    <s v="L"/>
    <n v="16"/>
    <x v="3"/>
    <d v="2022-01-04T00:00:00"/>
    <x v="2"/>
    <x v="1"/>
    <n v="1470"/>
    <n v="2100"/>
    <n v="1"/>
    <x v="3"/>
    <m/>
    <x v="3"/>
    <x v="0"/>
    <x v="0"/>
  </r>
  <r>
    <x v="68"/>
    <x v="4"/>
    <s v="Explorer 1000"/>
    <s v="Comfortable and durable touring bike"/>
    <x v="2"/>
    <s v="Long Distance"/>
    <s v="M"/>
    <n v="27"/>
    <x v="4"/>
    <d v="2022-01-05T00:00:00"/>
    <x v="2"/>
    <x v="1"/>
    <n v="897"/>
    <n v="1300"/>
    <n v="2"/>
    <x v="4"/>
    <m/>
    <x v="4"/>
    <x v="1"/>
    <x v="1"/>
  </r>
  <r>
    <x v="69"/>
    <x v="5"/>
    <s v="Explorer 2000"/>
    <s v="Advanced touring bike"/>
    <x v="2"/>
    <s v="Long Distance"/>
    <s v="L"/>
    <n v="24"/>
    <x v="5"/>
    <d v="2022-01-06T00:00:00"/>
    <x v="2"/>
    <x v="1"/>
    <n v="1104"/>
    <n v="1600"/>
    <n v="1"/>
    <x v="5"/>
    <m/>
    <x v="5"/>
    <x v="0"/>
    <x v="0"/>
  </r>
  <r>
    <x v="70"/>
    <x v="6"/>
    <s v="GravityMaster 1000"/>
    <s v="Rugged and durable downhill bike"/>
    <x v="0"/>
    <s v="Downhill"/>
    <s v="M"/>
    <n v="29"/>
    <x v="6"/>
    <d v="2022-01-07T00:00:00"/>
    <x v="2"/>
    <x v="1"/>
    <n v="1496"/>
    <n v="2200"/>
    <n v="2"/>
    <x v="6"/>
    <m/>
    <x v="6"/>
    <x v="1"/>
    <x v="0"/>
  </r>
  <r>
    <x v="71"/>
    <x v="7"/>
    <s v="GravityMaster 2000"/>
    <s v="Extreme downhill performance"/>
    <x v="0"/>
    <s v="Downhill"/>
    <s v="L"/>
    <n v="27"/>
    <x v="7"/>
    <d v="2022-01-08T00:00:00"/>
    <x v="2"/>
    <x v="1"/>
    <n v="1700"/>
    <n v="2500"/>
    <n v="1"/>
    <x v="7"/>
    <m/>
    <x v="7"/>
    <x v="0"/>
    <x v="1"/>
  </r>
  <r>
    <x v="72"/>
    <x v="8"/>
    <s v="Pathfinder 1000"/>
    <s v="Agile trail bike for all skill levels"/>
    <x v="0"/>
    <s v="Trail"/>
    <s v="M"/>
    <n v="24"/>
    <x v="8"/>
    <d v="2022-01-21T00:00:00"/>
    <x v="2"/>
    <x v="1"/>
    <n v="737"/>
    <n v="1100"/>
    <n v="2"/>
    <x v="8"/>
    <m/>
    <x v="8"/>
    <x v="0"/>
    <x v="0"/>
  </r>
  <r>
    <x v="73"/>
    <x v="9"/>
    <s v="Pathfinder 2000"/>
    <s v="High-performance trail bike"/>
    <x v="0"/>
    <s v="Trail"/>
    <s v="L"/>
    <n v="21"/>
    <x v="9"/>
    <d v="2022-01-22T00:00:00"/>
    <x v="2"/>
    <x v="1"/>
    <n v="938"/>
    <n v="1400"/>
    <n v="1"/>
    <x v="9"/>
    <m/>
    <x v="9"/>
    <x v="1"/>
    <x v="1"/>
  </r>
  <r>
    <x v="74"/>
    <x v="10"/>
    <s v="Voyager 1000"/>
    <s v="Comfortable touring road bike"/>
    <x v="1"/>
    <s v="Touring"/>
    <s v="M"/>
    <n v="20"/>
    <x v="10"/>
    <d v="2022-01-23T00:00:00"/>
    <x v="2"/>
    <x v="1"/>
    <n v="1190"/>
    <n v="1700"/>
    <n v="3"/>
    <x v="10"/>
    <m/>
    <x v="10"/>
    <x v="0"/>
    <x v="2"/>
  </r>
  <r>
    <x v="75"/>
    <x v="11"/>
    <s v="Voyager 2000"/>
    <s v="Advanced touring road bike"/>
    <x v="1"/>
    <s v="Touring"/>
    <s v="L"/>
    <n v="18"/>
    <x v="11"/>
    <d v="2022-01-24T00:00:00"/>
    <x v="2"/>
    <x v="1"/>
    <n v="1400"/>
    <n v="2000"/>
    <n v="1"/>
    <x v="11"/>
    <m/>
    <x v="11"/>
    <x v="0"/>
    <x v="0"/>
  </r>
  <r>
    <x v="76"/>
    <x v="12"/>
    <s v="Adventurer 1000"/>
    <s v="Durable bike for long adventures"/>
    <x v="2"/>
    <s v="Adventure"/>
    <s v="M"/>
    <n v="28"/>
    <x v="12"/>
    <d v="2022-01-25T00:00:00"/>
    <x v="2"/>
    <x v="1"/>
    <n v="975"/>
    <n v="1500"/>
    <n v="2"/>
    <x v="12"/>
    <m/>
    <x v="12"/>
    <x v="1"/>
    <x v="1"/>
  </r>
  <r>
    <x v="77"/>
    <x v="13"/>
    <s v="Adventurer 2000"/>
    <s v="Premium adventure touring bike"/>
    <x v="2"/>
    <s v="Adventure"/>
    <s v="L"/>
    <n v="26"/>
    <x v="13"/>
    <d v="2022-01-26T00:00:00"/>
    <x v="2"/>
    <x v="1"/>
    <n v="1170"/>
    <n v="1800"/>
    <n v="1"/>
    <x v="13"/>
    <m/>
    <x v="13"/>
    <x v="0"/>
    <x v="0"/>
  </r>
  <r>
    <x v="78"/>
    <x v="14"/>
    <s v="EnduroMaster 1000"/>
    <s v="Endurance-focused mountain bike"/>
    <x v="0"/>
    <s v="Enduro"/>
    <s v="M"/>
    <n v="30"/>
    <x v="14"/>
    <d v="2022-01-27T00:00:00"/>
    <x v="2"/>
    <x v="1"/>
    <n v="1656"/>
    <n v="2300"/>
    <n v="2"/>
    <x v="14"/>
    <m/>
    <x v="14"/>
    <x v="1"/>
    <x v="0"/>
  </r>
  <r>
    <x v="79"/>
    <x v="15"/>
    <s v="EnduroMaster 2000"/>
    <s v="High-performance enduro mountain bike"/>
    <x v="0"/>
    <s v="Enduro"/>
    <s v="L"/>
    <n v="28"/>
    <x v="15"/>
    <d v="2022-01-28T00:00:00"/>
    <x v="2"/>
    <x v="1"/>
    <n v="1872"/>
    <n v="2600"/>
    <n v="1"/>
    <x v="4"/>
    <m/>
    <x v="4"/>
    <x v="0"/>
    <x v="1"/>
  </r>
  <r>
    <x v="80"/>
    <x v="3"/>
    <s v="SpeedMaster 2000"/>
    <s v="Premium racing road bike"/>
    <x v="1"/>
    <s v="Racing"/>
    <s v="L"/>
    <n v="16"/>
    <x v="3"/>
    <d v="2023-02-04T00:00:00"/>
    <x v="1"/>
    <x v="0"/>
    <n v="1470"/>
    <n v="2100"/>
    <n v="1"/>
    <x v="3"/>
    <m/>
    <x v="3"/>
    <x v="0"/>
    <x v="0"/>
  </r>
  <r>
    <x v="81"/>
    <x v="4"/>
    <s v="Explorer 1000"/>
    <s v="Comfortable and durable touring bike"/>
    <x v="2"/>
    <s v="Long Distance"/>
    <s v="M"/>
    <n v="27"/>
    <x v="4"/>
    <d v="2023-02-05T00:00:00"/>
    <x v="1"/>
    <x v="0"/>
    <n v="897"/>
    <n v="1300"/>
    <n v="2"/>
    <x v="4"/>
    <m/>
    <x v="4"/>
    <x v="1"/>
    <x v="1"/>
  </r>
  <r>
    <x v="82"/>
    <x v="5"/>
    <s v="Explorer 2000"/>
    <s v="Advanced touring bike"/>
    <x v="2"/>
    <s v="Long Distance"/>
    <s v="L"/>
    <n v="24"/>
    <x v="5"/>
    <d v="2023-02-06T00:00:00"/>
    <x v="1"/>
    <x v="0"/>
    <n v="1104"/>
    <n v="1600"/>
    <n v="1"/>
    <x v="5"/>
    <m/>
    <x v="5"/>
    <x v="0"/>
    <x v="0"/>
  </r>
  <r>
    <x v="83"/>
    <x v="6"/>
    <s v="GravityMaster 1000"/>
    <s v="Rugged and durable downhill bike"/>
    <x v="0"/>
    <s v="Downhill"/>
    <s v="M"/>
    <n v="29"/>
    <x v="6"/>
    <d v="2023-02-07T00:00:00"/>
    <x v="1"/>
    <x v="0"/>
    <n v="1496"/>
    <n v="2200"/>
    <n v="2"/>
    <x v="6"/>
    <m/>
    <x v="6"/>
    <x v="1"/>
    <x v="0"/>
  </r>
  <r>
    <x v="84"/>
    <x v="7"/>
    <s v="GravityMaster 2000"/>
    <s v="Extreme downhill performance"/>
    <x v="0"/>
    <s v="Downhill"/>
    <s v="L"/>
    <n v="27"/>
    <x v="7"/>
    <d v="2023-02-08T00:00:00"/>
    <x v="1"/>
    <x v="0"/>
    <n v="1700"/>
    <n v="2500"/>
    <n v="1"/>
    <x v="7"/>
    <m/>
    <x v="7"/>
    <x v="0"/>
    <x v="1"/>
  </r>
  <r>
    <x v="85"/>
    <x v="8"/>
    <s v="Pathfinder 1000"/>
    <s v="Agile trail bike for all skill levels"/>
    <x v="0"/>
    <s v="Trail"/>
    <s v="M"/>
    <n v="24"/>
    <x v="8"/>
    <d v="2023-02-21T00:00:00"/>
    <x v="1"/>
    <x v="0"/>
    <n v="737"/>
    <n v="1100"/>
    <n v="2"/>
    <x v="8"/>
    <m/>
    <x v="8"/>
    <x v="0"/>
    <x v="0"/>
  </r>
  <r>
    <x v="86"/>
    <x v="9"/>
    <s v="Pathfinder 2000"/>
    <s v="High-performance trail bike"/>
    <x v="0"/>
    <s v="Trail"/>
    <s v="L"/>
    <n v="21"/>
    <x v="9"/>
    <d v="2023-02-22T00:00:00"/>
    <x v="1"/>
    <x v="0"/>
    <n v="938"/>
    <n v="1400"/>
    <n v="1"/>
    <x v="9"/>
    <m/>
    <x v="9"/>
    <x v="1"/>
    <x v="1"/>
  </r>
  <r>
    <x v="87"/>
    <x v="10"/>
    <s v="Voyager 1000"/>
    <s v="Comfortable touring road bike"/>
    <x v="1"/>
    <s v="Touring"/>
    <s v="M"/>
    <n v="20"/>
    <x v="10"/>
    <d v="2023-02-23T00:00:00"/>
    <x v="1"/>
    <x v="0"/>
    <n v="1190"/>
    <n v="1700"/>
    <n v="3"/>
    <x v="10"/>
    <m/>
    <x v="10"/>
    <x v="0"/>
    <x v="2"/>
  </r>
  <r>
    <x v="88"/>
    <x v="11"/>
    <s v="Voyager 2000"/>
    <s v="Advanced touring road bike"/>
    <x v="1"/>
    <s v="Touring"/>
    <s v="L"/>
    <n v="18"/>
    <x v="11"/>
    <d v="2023-02-24T00:00:00"/>
    <x v="1"/>
    <x v="0"/>
    <n v="1400"/>
    <n v="2000"/>
    <n v="1"/>
    <x v="11"/>
    <m/>
    <x v="11"/>
    <x v="0"/>
    <x v="0"/>
  </r>
  <r>
    <x v="89"/>
    <x v="12"/>
    <s v="Adventurer 1000"/>
    <s v="Durable bike for long adventures"/>
    <x v="2"/>
    <s v="Adventure"/>
    <s v="M"/>
    <n v="28"/>
    <x v="12"/>
    <d v="2023-02-25T00:00:00"/>
    <x v="1"/>
    <x v="0"/>
    <n v="975"/>
    <n v="1500"/>
    <n v="2"/>
    <x v="12"/>
    <m/>
    <x v="12"/>
    <x v="1"/>
    <x v="1"/>
  </r>
  <r>
    <x v="90"/>
    <x v="13"/>
    <s v="Adventurer 2000"/>
    <s v="Premium adventure touring bike"/>
    <x v="2"/>
    <s v="Adventure"/>
    <s v="L"/>
    <n v="26"/>
    <x v="13"/>
    <d v="2023-02-26T00:00:00"/>
    <x v="1"/>
    <x v="0"/>
    <n v="1170"/>
    <n v="1800"/>
    <n v="1"/>
    <x v="13"/>
    <m/>
    <x v="13"/>
    <x v="0"/>
    <x v="0"/>
  </r>
  <r>
    <x v="91"/>
    <x v="14"/>
    <s v="EnduroMaster 1000"/>
    <s v="Endurance-focused mountain bike"/>
    <x v="0"/>
    <s v="Enduro"/>
    <s v="M"/>
    <n v="30"/>
    <x v="14"/>
    <d v="2023-02-27T00:00:00"/>
    <x v="1"/>
    <x v="0"/>
    <n v="1656"/>
    <n v="2300"/>
    <n v="2"/>
    <x v="14"/>
    <m/>
    <x v="14"/>
    <x v="1"/>
    <x v="0"/>
  </r>
  <r>
    <x v="92"/>
    <x v="15"/>
    <s v="EnduroMaster 2000"/>
    <s v="High-performance enduro mountain bike"/>
    <x v="0"/>
    <s v="Enduro"/>
    <s v="L"/>
    <n v="28"/>
    <x v="15"/>
    <d v="2023-02-28T00:00:00"/>
    <x v="1"/>
    <x v="0"/>
    <n v="1872"/>
    <n v="2600"/>
    <n v="1"/>
    <x v="4"/>
    <m/>
    <x v="4"/>
    <x v="0"/>
    <x v="1"/>
  </r>
  <r>
    <x v="93"/>
    <x v="3"/>
    <s v="SpeedMaster 2000"/>
    <s v="Premium racing road bike"/>
    <x v="1"/>
    <s v="Racing"/>
    <s v="L"/>
    <n v="16"/>
    <x v="3"/>
    <d v="2023-01-04T00:00:00"/>
    <x v="2"/>
    <x v="0"/>
    <n v="1470"/>
    <n v="2100"/>
    <n v="1"/>
    <x v="3"/>
    <m/>
    <x v="3"/>
    <x v="0"/>
    <x v="0"/>
  </r>
  <r>
    <x v="94"/>
    <x v="4"/>
    <s v="Explorer 1000"/>
    <s v="Comfortable and durable touring bike"/>
    <x v="2"/>
    <s v="Long Distance"/>
    <s v="M"/>
    <n v="27"/>
    <x v="4"/>
    <d v="2023-01-05T00:00:00"/>
    <x v="2"/>
    <x v="0"/>
    <n v="897"/>
    <n v="1300"/>
    <n v="2"/>
    <x v="4"/>
    <m/>
    <x v="4"/>
    <x v="1"/>
    <x v="1"/>
  </r>
  <r>
    <x v="95"/>
    <x v="5"/>
    <s v="Explorer 2000"/>
    <s v="Advanced touring bike"/>
    <x v="2"/>
    <s v="Long Distance"/>
    <s v="L"/>
    <n v="24"/>
    <x v="5"/>
    <d v="2023-01-06T00:00:00"/>
    <x v="2"/>
    <x v="0"/>
    <n v="1104"/>
    <n v="1600"/>
    <n v="1"/>
    <x v="5"/>
    <m/>
    <x v="5"/>
    <x v="0"/>
    <x v="0"/>
  </r>
  <r>
    <x v="96"/>
    <x v="6"/>
    <s v="GravityMaster 1000"/>
    <s v="Rugged and durable downhill bike"/>
    <x v="0"/>
    <s v="Downhill"/>
    <s v="M"/>
    <n v="29"/>
    <x v="6"/>
    <d v="2023-01-07T00:00:00"/>
    <x v="2"/>
    <x v="0"/>
    <n v="1496"/>
    <n v="2200"/>
    <n v="2"/>
    <x v="6"/>
    <m/>
    <x v="6"/>
    <x v="1"/>
    <x v="0"/>
  </r>
  <r>
    <x v="97"/>
    <x v="7"/>
    <s v="GravityMaster 2000"/>
    <s v="Extreme downhill performance"/>
    <x v="0"/>
    <s v="Downhill"/>
    <s v="L"/>
    <n v="27"/>
    <x v="7"/>
    <d v="2023-01-08T00:00:00"/>
    <x v="2"/>
    <x v="0"/>
    <n v="1700"/>
    <n v="2500"/>
    <n v="1"/>
    <x v="7"/>
    <m/>
    <x v="7"/>
    <x v="0"/>
    <x v="1"/>
  </r>
  <r>
    <x v="98"/>
    <x v="8"/>
    <s v="Pathfinder 1000"/>
    <s v="Agile trail bike for all skill levels"/>
    <x v="0"/>
    <s v="Trail"/>
    <s v="M"/>
    <n v="24"/>
    <x v="8"/>
    <d v="2023-01-21T00:00:00"/>
    <x v="2"/>
    <x v="0"/>
    <n v="737"/>
    <n v="1100"/>
    <n v="2"/>
    <x v="8"/>
    <m/>
    <x v="8"/>
    <x v="0"/>
    <x v="0"/>
  </r>
  <r>
    <x v="99"/>
    <x v="9"/>
    <s v="Pathfinder 2000"/>
    <s v="High-performance trail bike"/>
    <x v="0"/>
    <s v="Trail"/>
    <s v="L"/>
    <n v="21"/>
    <x v="9"/>
    <d v="2023-01-22T00:00:00"/>
    <x v="2"/>
    <x v="0"/>
    <n v="938"/>
    <n v="1400"/>
    <n v="1"/>
    <x v="9"/>
    <m/>
    <x v="9"/>
    <x v="1"/>
    <x v="1"/>
  </r>
  <r>
    <x v="100"/>
    <x v="10"/>
    <s v="Voyager 1000"/>
    <s v="Comfortable touring road bike"/>
    <x v="1"/>
    <s v="Touring"/>
    <s v="M"/>
    <n v="20"/>
    <x v="10"/>
    <d v="2023-01-23T00:00:00"/>
    <x v="2"/>
    <x v="0"/>
    <n v="1190"/>
    <n v="1700"/>
    <n v="3"/>
    <x v="10"/>
    <m/>
    <x v="10"/>
    <x v="0"/>
    <x v="2"/>
  </r>
  <r>
    <x v="101"/>
    <x v="11"/>
    <s v="Voyager 2000"/>
    <s v="Advanced touring road bike"/>
    <x v="1"/>
    <s v="Touring"/>
    <s v="L"/>
    <n v="18"/>
    <x v="11"/>
    <d v="2023-01-24T00:00:00"/>
    <x v="2"/>
    <x v="0"/>
    <n v="1400"/>
    <n v="2000"/>
    <n v="1"/>
    <x v="11"/>
    <m/>
    <x v="11"/>
    <x v="0"/>
    <x v="0"/>
  </r>
  <r>
    <x v="102"/>
    <x v="12"/>
    <s v="Adventurer 1000"/>
    <s v="Durable bike for long adventures"/>
    <x v="2"/>
    <s v="Adventure"/>
    <s v="M"/>
    <n v="28"/>
    <x v="12"/>
    <d v="2023-01-25T00:00:00"/>
    <x v="2"/>
    <x v="0"/>
    <n v="975"/>
    <n v="1500"/>
    <n v="2"/>
    <x v="12"/>
    <m/>
    <x v="12"/>
    <x v="1"/>
    <x v="1"/>
  </r>
  <r>
    <x v="103"/>
    <x v="13"/>
    <s v="Adventurer 2000"/>
    <s v="Premium adventure touring bike"/>
    <x v="2"/>
    <s v="Adventure"/>
    <s v="L"/>
    <n v="26"/>
    <x v="13"/>
    <d v="2023-01-26T00:00:00"/>
    <x v="2"/>
    <x v="0"/>
    <n v="1170"/>
    <n v="1800"/>
    <n v="1"/>
    <x v="13"/>
    <m/>
    <x v="13"/>
    <x v="0"/>
    <x v="0"/>
  </r>
  <r>
    <x v="104"/>
    <x v="14"/>
    <s v="EnduroMaster 1000"/>
    <s v="Endurance-focused mountain bike"/>
    <x v="0"/>
    <s v="Enduro"/>
    <s v="M"/>
    <n v="30"/>
    <x v="14"/>
    <d v="2023-01-27T00:00:00"/>
    <x v="2"/>
    <x v="0"/>
    <n v="1656"/>
    <n v="2300"/>
    <n v="2"/>
    <x v="14"/>
    <m/>
    <x v="14"/>
    <x v="1"/>
    <x v="0"/>
  </r>
  <r>
    <x v="105"/>
    <x v="15"/>
    <s v="EnduroMaster 2000"/>
    <s v="High-performance enduro mountain bike"/>
    <x v="0"/>
    <s v="Enduro"/>
    <s v="L"/>
    <n v="28"/>
    <x v="15"/>
    <d v="2023-01-28T00:00:00"/>
    <x v="2"/>
    <x v="0"/>
    <n v="1872"/>
    <n v="2600"/>
    <n v="1"/>
    <x v="4"/>
    <m/>
    <x v="4"/>
    <x v="0"/>
    <x v="1"/>
  </r>
  <r>
    <x v="106"/>
    <x v="0"/>
    <s v="TrailBlazer 1000"/>
    <s v="Lightweight and versatile"/>
    <x v="0"/>
    <s v="Cross Country"/>
    <s v="M"/>
    <n v="25"/>
    <x v="0"/>
    <d v="2023-01-01T00:00:00"/>
    <x v="2"/>
    <x v="0"/>
    <n v="840"/>
    <n v="1200"/>
    <n v="2"/>
    <x v="0"/>
    <m/>
    <x v="0"/>
    <x v="0"/>
    <x v="0"/>
  </r>
  <r>
    <x v="107"/>
    <x v="1"/>
    <s v="TrailBlazer 2000"/>
    <s v="High-performance mountain bike"/>
    <x v="0"/>
    <s v="Cross Country"/>
    <s v="L"/>
    <n v="22"/>
    <x v="1"/>
    <d v="2023-01-02T00:00:00"/>
    <x v="2"/>
    <x v="0"/>
    <n v="1050"/>
    <n v="1500"/>
    <n v="1"/>
    <x v="1"/>
    <m/>
    <x v="1"/>
    <x v="1"/>
    <x v="1"/>
  </r>
  <r>
    <x v="108"/>
    <x v="2"/>
    <s v="SpeedMaster 1000"/>
    <s v="Agile and aerodynamic road bike"/>
    <x v="1"/>
    <s v="Racing"/>
    <s v="M"/>
    <n v="18"/>
    <x v="2"/>
    <d v="2023-01-03T00:00:00"/>
    <x v="2"/>
    <x v="0"/>
    <n v="1260"/>
    <n v="1800"/>
    <n v="3"/>
    <x v="2"/>
    <m/>
    <x v="2"/>
    <x v="0"/>
    <x v="2"/>
  </r>
  <r>
    <x v="109"/>
    <x v="3"/>
    <s v="SpeedMaster 2000"/>
    <s v="Premium racing road bike"/>
    <x v="1"/>
    <s v="Racing"/>
    <s v="L"/>
    <n v="16"/>
    <x v="3"/>
    <d v="2023-01-04T00:00:00"/>
    <x v="2"/>
    <x v="0"/>
    <n v="1470"/>
    <n v="2100"/>
    <n v="1"/>
    <x v="3"/>
    <m/>
    <x v="3"/>
    <x v="0"/>
    <x v="0"/>
  </r>
  <r>
    <x v="110"/>
    <x v="4"/>
    <s v="Explorer 1000"/>
    <s v="Comfortable and durable touring bike"/>
    <x v="2"/>
    <s v="Long Distance"/>
    <s v="M"/>
    <n v="27"/>
    <x v="4"/>
    <d v="2023-01-05T00:00:00"/>
    <x v="2"/>
    <x v="0"/>
    <n v="897"/>
    <n v="1300"/>
    <n v="2"/>
    <x v="4"/>
    <m/>
    <x v="4"/>
    <x v="1"/>
    <x v="1"/>
  </r>
  <r>
    <x v="111"/>
    <x v="5"/>
    <s v="Explorer 2000"/>
    <s v="Advanced touring bike"/>
    <x v="2"/>
    <s v="Long Distance"/>
    <s v="L"/>
    <n v="24"/>
    <x v="5"/>
    <d v="2023-01-06T00:00:00"/>
    <x v="2"/>
    <x v="0"/>
    <n v="1104"/>
    <n v="1600"/>
    <n v="1"/>
    <x v="5"/>
    <m/>
    <x v="5"/>
    <x v="0"/>
    <x v="0"/>
  </r>
  <r>
    <x v="112"/>
    <x v="6"/>
    <s v="GravityMaster 1000"/>
    <s v="Rugged and durable downhill bike"/>
    <x v="0"/>
    <s v="Downhill"/>
    <s v="M"/>
    <n v="29"/>
    <x v="6"/>
    <d v="2023-01-07T00:00:00"/>
    <x v="2"/>
    <x v="0"/>
    <n v="1496"/>
    <n v="2200"/>
    <n v="2"/>
    <x v="6"/>
    <m/>
    <x v="6"/>
    <x v="1"/>
    <x v="0"/>
  </r>
  <r>
    <x v="113"/>
    <x v="7"/>
    <s v="GravityMaster 2000"/>
    <s v="Extreme downhill performance"/>
    <x v="0"/>
    <s v="Downhill"/>
    <s v="L"/>
    <n v="27"/>
    <x v="7"/>
    <d v="2023-01-08T00:00:00"/>
    <x v="2"/>
    <x v="0"/>
    <n v="1700"/>
    <n v="2500"/>
    <n v="1"/>
    <x v="7"/>
    <m/>
    <x v="7"/>
    <x v="0"/>
    <x v="1"/>
  </r>
  <r>
    <x v="114"/>
    <x v="8"/>
    <s v="Pathfinder 1000"/>
    <s v="Agile trail bike for all skill levels"/>
    <x v="0"/>
    <s v="Trail"/>
    <s v="M"/>
    <n v="24"/>
    <x v="8"/>
    <d v="2023-01-21T00:00:00"/>
    <x v="2"/>
    <x v="0"/>
    <n v="737"/>
    <n v="1100"/>
    <n v="2"/>
    <x v="8"/>
    <m/>
    <x v="8"/>
    <x v="0"/>
    <x v="0"/>
  </r>
  <r>
    <x v="115"/>
    <x v="9"/>
    <s v="Pathfinder 2000"/>
    <s v="High-performance trail bike"/>
    <x v="0"/>
    <s v="Trail"/>
    <s v="L"/>
    <n v="21"/>
    <x v="9"/>
    <d v="2023-01-22T00:00:00"/>
    <x v="2"/>
    <x v="0"/>
    <n v="938"/>
    <n v="1400"/>
    <n v="1"/>
    <x v="9"/>
    <m/>
    <x v="9"/>
    <x v="1"/>
    <x v="1"/>
  </r>
  <r>
    <x v="116"/>
    <x v="10"/>
    <s v="Voyager 1000"/>
    <s v="Comfortable touring road bike"/>
    <x v="1"/>
    <s v="Touring"/>
    <s v="M"/>
    <n v="20"/>
    <x v="10"/>
    <d v="2023-01-23T00:00:00"/>
    <x v="2"/>
    <x v="0"/>
    <n v="1190"/>
    <n v="1700"/>
    <n v="3"/>
    <x v="10"/>
    <m/>
    <x v="10"/>
    <x v="0"/>
    <x v="2"/>
  </r>
  <r>
    <x v="117"/>
    <x v="11"/>
    <s v="Voyager 2000"/>
    <s v="Advanced touring road bike"/>
    <x v="1"/>
    <s v="Touring"/>
    <s v="L"/>
    <n v="18"/>
    <x v="11"/>
    <d v="2023-01-24T00:00:00"/>
    <x v="2"/>
    <x v="0"/>
    <n v="1400"/>
    <n v="2000"/>
    <n v="1"/>
    <x v="11"/>
    <m/>
    <x v="11"/>
    <x v="0"/>
    <x v="0"/>
  </r>
  <r>
    <x v="118"/>
    <x v="12"/>
    <s v="Adventurer 1000"/>
    <s v="Durable bike for long adventures"/>
    <x v="2"/>
    <s v="Adventure"/>
    <s v="M"/>
    <n v="28"/>
    <x v="12"/>
    <d v="2023-01-25T00:00:00"/>
    <x v="2"/>
    <x v="0"/>
    <n v="975"/>
    <n v="1500"/>
    <n v="2"/>
    <x v="12"/>
    <m/>
    <x v="12"/>
    <x v="1"/>
    <x v="1"/>
  </r>
  <r>
    <x v="119"/>
    <x v="13"/>
    <s v="Adventurer 2000"/>
    <s v="Premium adventure touring bike"/>
    <x v="2"/>
    <s v="Adventure"/>
    <s v="L"/>
    <n v="26"/>
    <x v="13"/>
    <d v="2023-01-26T00:00:00"/>
    <x v="2"/>
    <x v="0"/>
    <n v="1170"/>
    <n v="1800"/>
    <n v="1"/>
    <x v="13"/>
    <m/>
    <x v="13"/>
    <x v="0"/>
    <x v="0"/>
  </r>
  <r>
    <x v="120"/>
    <x v="14"/>
    <s v="EnduroMaster 1000"/>
    <s v="Endurance-focused mountain bike"/>
    <x v="0"/>
    <s v="Enduro"/>
    <s v="M"/>
    <n v="30"/>
    <x v="14"/>
    <d v="2023-01-27T00:00:00"/>
    <x v="2"/>
    <x v="0"/>
    <n v="1656"/>
    <n v="2300"/>
    <n v="2"/>
    <x v="14"/>
    <m/>
    <x v="14"/>
    <x v="1"/>
    <x v="0"/>
  </r>
  <r>
    <x v="121"/>
    <x v="15"/>
    <s v="EnduroMaster 2000"/>
    <s v="High-performance enduro mountain bike"/>
    <x v="0"/>
    <s v="Enduro"/>
    <s v="L"/>
    <n v="28"/>
    <x v="15"/>
    <d v="2023-01-28T00:00:00"/>
    <x v="2"/>
    <x v="0"/>
    <n v="1872"/>
    <n v="2600"/>
    <n v="1"/>
    <x v="4"/>
    <m/>
    <x v="4"/>
    <x v="0"/>
    <x v="1"/>
  </r>
  <r>
    <x v="122"/>
    <x v="16"/>
    <s v="FatTrail 1000"/>
    <s v="All-terrain fat bike"/>
    <x v="0"/>
    <s v="Fat Bikes"/>
    <s v="M"/>
    <n v="32"/>
    <x v="16"/>
    <d v="2023-01-11T00:00:00"/>
    <x v="2"/>
    <x v="0"/>
    <n v="780"/>
    <n v="1300"/>
    <n v="2"/>
    <x v="4"/>
    <m/>
    <x v="4"/>
    <x v="0"/>
    <x v="0"/>
  </r>
  <r>
    <x v="123"/>
    <x v="17"/>
    <s v="FatTrail 2000"/>
    <s v="High-performance fat bike"/>
    <x v="0"/>
    <s v="Fat Bikes"/>
    <s v="L"/>
    <n v="29"/>
    <x v="17"/>
    <d v="2023-01-12T00:00:00"/>
    <x v="2"/>
    <x v="0"/>
    <n v="960"/>
    <n v="1600"/>
    <n v="1"/>
    <x v="5"/>
    <m/>
    <x v="5"/>
    <x v="1"/>
    <x v="1"/>
  </r>
  <r>
    <x v="124"/>
    <x v="18"/>
    <s v="CrossRider 1000"/>
    <s v="Versatile cyclocross bike"/>
    <x v="1"/>
    <s v="Cyclocross"/>
    <s v="M"/>
    <n v="21"/>
    <x v="18"/>
    <d v="2023-01-13T00:00:00"/>
    <x v="2"/>
    <x v="0"/>
    <n v="1292"/>
    <n v="1900"/>
    <n v="3"/>
    <x v="15"/>
    <m/>
    <x v="15"/>
    <x v="0"/>
    <x v="2"/>
  </r>
  <r>
    <x v="125"/>
    <x v="19"/>
    <s v="CrossRider 2000"/>
    <s v="Advanced cyclocross bike"/>
    <x v="1"/>
    <s v="Cyclocross"/>
    <s v="L"/>
    <n v="19"/>
    <x v="19"/>
    <d v="2023-01-14T00:00:00"/>
    <x v="2"/>
    <x v="0"/>
    <n v="1496"/>
    <n v="2200"/>
    <n v="1"/>
    <x v="8"/>
    <m/>
    <x v="8"/>
    <x v="0"/>
    <x v="0"/>
  </r>
  <r>
    <x v="126"/>
    <x v="20"/>
    <s v="DuoExplorer 1000"/>
    <s v="Comfortable tandem touring bike"/>
    <x v="2"/>
    <s v="Tandem"/>
    <s v="M"/>
    <n v="36"/>
    <x v="20"/>
    <d v="2023-01-15T00:00:00"/>
    <x v="2"/>
    <x v="0"/>
    <n v="1340"/>
    <n v="2000"/>
    <n v="2"/>
    <x v="16"/>
    <m/>
    <x v="16"/>
    <x v="1"/>
    <x v="1"/>
  </r>
  <r>
    <x v="127"/>
    <x v="21"/>
    <s v="DuoExplorer 2000"/>
    <s v="High-performance tandem touring bike"/>
    <x v="2"/>
    <s v="Tandem"/>
    <s v="L"/>
    <n v="34"/>
    <x v="21"/>
    <d v="2023-01-16T00:00:00"/>
    <x v="2"/>
    <x v="0"/>
    <n v="1541"/>
    <n v="2300"/>
    <n v="1"/>
    <x v="17"/>
    <m/>
    <x v="17"/>
    <x v="0"/>
    <x v="0"/>
  </r>
  <r>
    <x v="128"/>
    <x v="22"/>
    <s v="E-Mountain 1000"/>
    <s v="Electric mountain bike"/>
    <x v="0"/>
    <s v="Electric"/>
    <s v="M"/>
    <n v="40"/>
    <x v="22"/>
    <d v="2023-01-17T00:00:00"/>
    <x v="2"/>
    <x v="0"/>
    <n v="2250"/>
    <n v="3000"/>
    <n v="2"/>
    <x v="18"/>
    <m/>
    <x v="18"/>
    <x v="1"/>
    <x v="0"/>
  </r>
  <r>
    <x v="129"/>
    <x v="23"/>
    <s v="E-Mountain 2000"/>
    <s v="High-performance electric mountain bike"/>
    <x v="0"/>
    <s v="Electric"/>
    <s v="L"/>
    <n v="38"/>
    <x v="23"/>
    <d v="2023-01-18T00:00:00"/>
    <x v="2"/>
    <x v="0"/>
    <n v="2625"/>
    <n v="3500"/>
    <n v="1"/>
    <x v="19"/>
    <m/>
    <x v="19"/>
    <x v="0"/>
    <x v="1"/>
  </r>
  <r>
    <x v="130"/>
    <x v="24"/>
    <s v="UrbanEco 1000"/>
    <s v="Eco-friendly electric city bike"/>
    <x v="3"/>
    <s v="City"/>
    <s v="M"/>
    <n v="35"/>
    <x v="24"/>
    <d v="2023-01-01T00:00:00"/>
    <x v="2"/>
    <x v="0"/>
    <n v="1460"/>
    <n v="2000"/>
    <n v="2"/>
    <x v="16"/>
    <m/>
    <x v="16"/>
    <x v="0"/>
    <x v="0"/>
  </r>
  <r>
    <x v="131"/>
    <x v="25"/>
    <s v="UrbanEco 2000"/>
    <s v="High-performance electric city bike"/>
    <x v="3"/>
    <s v="City"/>
    <s v="L"/>
    <n v="33"/>
    <x v="25"/>
    <d v="2023-01-02T00:00:00"/>
    <x v="2"/>
    <x v="0"/>
    <n v="1825"/>
    <n v="2500"/>
    <n v="1"/>
    <x v="7"/>
    <m/>
    <x v="7"/>
    <x v="1"/>
    <x v="1"/>
  </r>
  <r>
    <x v="132"/>
    <x v="26"/>
    <s v="GravelMaster 1000"/>
    <s v="All-terrain gravel bike"/>
    <x v="1"/>
    <s v="Gravel"/>
    <s v="M"/>
    <n v="22"/>
    <x v="26"/>
    <d v="2023-01-03T00:00:00"/>
    <x v="2"/>
    <x v="0"/>
    <n v="1105"/>
    <n v="1700"/>
    <n v="3"/>
    <x v="10"/>
    <m/>
    <x v="10"/>
    <x v="0"/>
    <x v="2"/>
  </r>
  <r>
    <x v="133"/>
    <x v="27"/>
    <s v="GravelMaster 2000"/>
    <s v="High-performance gravel bike"/>
    <x v="1"/>
    <s v="Gravel"/>
    <s v="L"/>
    <n v="20"/>
    <x v="27"/>
    <d v="2023-01-04T00:00:00"/>
    <x v="2"/>
    <x v="0"/>
    <n v="1365"/>
    <n v="2100"/>
    <n v="1"/>
    <x v="3"/>
    <m/>
    <x v="3"/>
    <x v="0"/>
    <x v="0"/>
  </r>
  <r>
    <x v="134"/>
    <x v="28"/>
    <s v="FoldAway 1000"/>
    <s v="Compact folding touring bike"/>
    <x v="2"/>
    <s v="Folding"/>
    <s v="M"/>
    <n v="30"/>
    <x v="28"/>
    <d v="2023-01-05T00:00:00"/>
    <x v="2"/>
    <x v="0"/>
    <n v="1035"/>
    <n v="1500"/>
    <n v="2"/>
    <x v="12"/>
    <m/>
    <x v="12"/>
    <x v="1"/>
    <x v="1"/>
  </r>
  <r>
    <x v="135"/>
    <x v="29"/>
    <s v="FoldAway 2000"/>
    <s v="Advanced folding touring bike"/>
    <x v="2"/>
    <s v="Folding"/>
    <s v="L"/>
    <n v="28"/>
    <x v="29"/>
    <d v="2023-01-06T00:00:00"/>
    <x v="2"/>
    <x v="0"/>
    <n v="1242"/>
    <n v="1800"/>
    <n v="1"/>
    <x v="13"/>
    <m/>
    <x v="13"/>
    <x v="0"/>
    <x v="0"/>
  </r>
  <r>
    <x v="136"/>
    <x v="30"/>
    <s v="E-TrailBlazer 1000"/>
    <s v="Electric mountain bike"/>
    <x v="3"/>
    <s v="Mountain"/>
    <s v="M"/>
    <n v="42"/>
    <x v="30"/>
    <d v="2023-01-07T00:00:00"/>
    <x v="2"/>
    <x v="0"/>
    <n v="2080"/>
    <n v="3200"/>
    <n v="2"/>
    <x v="20"/>
    <m/>
    <x v="20"/>
    <x v="1"/>
    <x v="0"/>
  </r>
  <r>
    <x v="137"/>
    <x v="31"/>
    <s v="E-TrailBlazer 2000"/>
    <s v="High-performance electric mountain bike"/>
    <x v="3"/>
    <s v="Mountain"/>
    <s v="L"/>
    <n v="40"/>
    <x v="31"/>
    <d v="2023-01-08T00:00:00"/>
    <x v="2"/>
    <x v="0"/>
    <n v="2405"/>
    <n v="3700"/>
    <n v="1"/>
    <x v="21"/>
    <m/>
    <x v="21"/>
    <x v="0"/>
    <x v="1"/>
  </r>
  <r>
    <x v="138"/>
    <x v="32"/>
    <s v="CommutePro 1000"/>
    <s v="Efficient commuter hybrid bike"/>
    <x v="4"/>
    <s v="Commuter"/>
    <s v="M"/>
    <n v="27"/>
    <x v="32"/>
    <d v="2023-02-19T00:00:00"/>
    <x v="1"/>
    <x v="0"/>
    <n v="720"/>
    <n v="1200"/>
    <n v="2"/>
    <x v="0"/>
    <m/>
    <x v="0"/>
    <x v="0"/>
    <x v="0"/>
  </r>
  <r>
    <x v="139"/>
    <x v="33"/>
    <s v="CommutePro 2000"/>
    <s v="High-performance commuter hybrid bike"/>
    <x v="4"/>
    <s v="Commuter"/>
    <s v="L"/>
    <n v="25"/>
    <x v="33"/>
    <d v="2023-02-20T00:00:00"/>
    <x v="1"/>
    <x v="0"/>
    <n v="900"/>
    <n v="1500"/>
    <n v="1"/>
    <x v="1"/>
    <m/>
    <x v="1"/>
    <x v="1"/>
    <x v="1"/>
  </r>
  <r>
    <x v="140"/>
    <x v="34"/>
    <s v="AeroSpeed 1000"/>
    <s v="Aerodynamic road bike"/>
    <x v="1"/>
    <s v="Aero"/>
    <s v="M"/>
    <n v="18"/>
    <x v="34"/>
    <d v="2023-02-21T00:00:00"/>
    <x v="1"/>
    <x v="0"/>
    <n v="1932"/>
    <n v="2800"/>
    <n v="3"/>
    <x v="22"/>
    <m/>
    <x v="22"/>
    <x v="0"/>
    <x v="2"/>
  </r>
  <r>
    <x v="141"/>
    <x v="35"/>
    <s v="AeroSpeed 2000"/>
    <s v="Advanced aerodynamic road bike"/>
    <x v="1"/>
    <s v="Aero"/>
    <s v="L"/>
    <n v="16"/>
    <x v="35"/>
    <d v="2023-02-22T00:00:00"/>
    <x v="1"/>
    <x v="0"/>
    <n v="2208"/>
    <n v="3200"/>
    <n v="1"/>
    <x v="23"/>
    <m/>
    <x v="23"/>
    <x v="0"/>
    <x v="0"/>
  </r>
  <r>
    <x v="142"/>
    <x v="36"/>
    <s v="ReclineRider 1000"/>
    <s v="Comfortable recumbent touring bike"/>
    <x v="2"/>
    <s v="Recumbent"/>
    <s v="M"/>
    <n v="33"/>
    <x v="36"/>
    <d v="2023-02-23T00:00:00"/>
    <x v="1"/>
    <x v="0"/>
    <n v="1500"/>
    <n v="2000"/>
    <n v="2"/>
    <x v="16"/>
    <m/>
    <x v="16"/>
    <x v="1"/>
    <x v="1"/>
  </r>
  <r>
    <x v="143"/>
    <x v="37"/>
    <s v="ReclineRider 2000"/>
    <s v="High-performance recumbent touring bike"/>
    <x v="2"/>
    <s v="Recumbent"/>
    <s v="L"/>
    <n v="30"/>
    <x v="37"/>
    <d v="2023-02-24T00:00:00"/>
    <x v="1"/>
    <x v="0"/>
    <n v="1800"/>
    <n v="2400"/>
    <n v="1"/>
    <x v="0"/>
    <m/>
    <x v="0"/>
    <x v="0"/>
    <x v="0"/>
  </r>
  <r>
    <x v="144"/>
    <x v="38"/>
    <s v="DownhillDominator 1000"/>
    <s v="Downhill mountain bike"/>
    <x v="0"/>
    <s v="Downhill"/>
    <s v="M"/>
    <n v="34"/>
    <x v="38"/>
    <d v="2023-02-25T00:00:00"/>
    <x v="1"/>
    <x v="0"/>
    <n v="2291"/>
    <n v="2900"/>
    <n v="2"/>
    <x v="24"/>
    <m/>
    <x v="24"/>
    <x v="1"/>
    <x v="0"/>
  </r>
  <r>
    <x v="145"/>
    <x v="9"/>
    <s v="Pathfinder 2000"/>
    <s v="High-performance trail bike"/>
    <x v="0"/>
    <s v="Trail"/>
    <s v="L"/>
    <n v="21"/>
    <x v="9"/>
    <d v="2023-02-22T00:00:00"/>
    <x v="1"/>
    <x v="0"/>
    <n v="938"/>
    <n v="1400"/>
    <n v="1"/>
    <x v="9"/>
    <m/>
    <x v="9"/>
    <x v="1"/>
    <x v="1"/>
  </r>
  <r>
    <x v="146"/>
    <x v="10"/>
    <s v="Voyager 1000"/>
    <s v="Comfortable touring road bike"/>
    <x v="1"/>
    <s v="Touring"/>
    <s v="M"/>
    <n v="20"/>
    <x v="10"/>
    <d v="2023-02-23T00:00:00"/>
    <x v="1"/>
    <x v="0"/>
    <n v="1190"/>
    <n v="1700"/>
    <n v="3"/>
    <x v="10"/>
    <m/>
    <x v="10"/>
    <x v="0"/>
    <x v="2"/>
  </r>
  <r>
    <x v="147"/>
    <x v="11"/>
    <s v="Voyager 2000"/>
    <s v="Advanced touring road bike"/>
    <x v="1"/>
    <s v="Touring"/>
    <s v="L"/>
    <n v="18"/>
    <x v="11"/>
    <d v="2023-02-24T00:00:00"/>
    <x v="1"/>
    <x v="0"/>
    <n v="1400"/>
    <n v="2000"/>
    <n v="1"/>
    <x v="11"/>
    <m/>
    <x v="11"/>
    <x v="0"/>
    <x v="0"/>
  </r>
  <r>
    <x v="148"/>
    <x v="12"/>
    <s v="Adventurer 1000"/>
    <s v="Durable bike for long adventures"/>
    <x v="2"/>
    <s v="Adventure"/>
    <s v="M"/>
    <n v="28"/>
    <x v="12"/>
    <d v="2023-02-25T00:00:00"/>
    <x v="1"/>
    <x v="0"/>
    <n v="975"/>
    <n v="1500"/>
    <n v="2"/>
    <x v="12"/>
    <m/>
    <x v="12"/>
    <x v="1"/>
    <x v="1"/>
  </r>
  <r>
    <x v="149"/>
    <x v="13"/>
    <s v="Adventurer 2000"/>
    <s v="Premium adventure touring bike"/>
    <x v="2"/>
    <s v="Adventure"/>
    <s v="L"/>
    <n v="26"/>
    <x v="13"/>
    <d v="2023-02-26T00:00:00"/>
    <x v="1"/>
    <x v="0"/>
    <n v="1170"/>
    <n v="1800"/>
    <n v="1"/>
    <x v="13"/>
    <m/>
    <x v="13"/>
    <x v="0"/>
    <x v="0"/>
  </r>
  <r>
    <x v="150"/>
    <x v="14"/>
    <s v="EnduroMaster 1000"/>
    <s v="Endurance-focused mountain bike"/>
    <x v="0"/>
    <s v="Enduro"/>
    <s v="M"/>
    <n v="30"/>
    <x v="14"/>
    <d v="2023-02-27T00:00:00"/>
    <x v="1"/>
    <x v="0"/>
    <n v="1656"/>
    <n v="2300"/>
    <n v="2"/>
    <x v="14"/>
    <m/>
    <x v="14"/>
    <x v="1"/>
    <x v="0"/>
  </r>
  <r>
    <x v="151"/>
    <x v="15"/>
    <s v="EnduroMaster 2000"/>
    <s v="High-performance enduro mountain bike"/>
    <x v="0"/>
    <s v="Enduro"/>
    <s v="L"/>
    <n v="28"/>
    <x v="15"/>
    <d v="2023-02-28T00:00:00"/>
    <x v="1"/>
    <x v="0"/>
    <n v="1872"/>
    <n v="2600"/>
    <n v="1"/>
    <x v="4"/>
    <m/>
    <x v="4"/>
    <x v="0"/>
    <x v="1"/>
  </r>
  <r>
    <x v="152"/>
    <x v="0"/>
    <s v="TrailBlazer 1000"/>
    <s v="Lightweight and versatile"/>
    <x v="0"/>
    <s v="Cross Country"/>
    <s v="M"/>
    <n v="25"/>
    <x v="0"/>
    <d v="2023-02-01T00:00:00"/>
    <x v="1"/>
    <x v="0"/>
    <n v="840"/>
    <n v="1200"/>
    <n v="2"/>
    <x v="0"/>
    <m/>
    <x v="0"/>
    <x v="0"/>
    <x v="0"/>
  </r>
  <r>
    <x v="153"/>
    <x v="1"/>
    <s v="TrailBlazer 2000"/>
    <s v="High-performance mountain bike"/>
    <x v="0"/>
    <s v="Cross Country"/>
    <s v="L"/>
    <n v="22"/>
    <x v="1"/>
    <d v="2023-02-02T00:00:00"/>
    <x v="1"/>
    <x v="0"/>
    <n v="1050"/>
    <n v="1500"/>
    <n v="1"/>
    <x v="1"/>
    <m/>
    <x v="1"/>
    <x v="1"/>
    <x v="1"/>
  </r>
  <r>
    <x v="154"/>
    <x v="2"/>
    <s v="SpeedMaster 1000"/>
    <s v="Agile and aerodynamic road bike"/>
    <x v="1"/>
    <s v="Racing"/>
    <s v="M"/>
    <n v="18"/>
    <x v="2"/>
    <d v="2023-02-03T00:00:00"/>
    <x v="1"/>
    <x v="0"/>
    <n v="1260"/>
    <n v="1800"/>
    <n v="3"/>
    <x v="2"/>
    <m/>
    <x v="2"/>
    <x v="0"/>
    <x v="2"/>
  </r>
  <r>
    <x v="155"/>
    <x v="0"/>
    <s v="TrailBlazer 1000"/>
    <s v="Lightweight and versatile"/>
    <x v="0"/>
    <s v="Cross Country"/>
    <s v="M"/>
    <n v="25"/>
    <x v="0"/>
    <d v="2023-03-01T00:00:00"/>
    <x v="0"/>
    <x v="0"/>
    <n v="840"/>
    <n v="1200"/>
    <n v="2"/>
    <x v="0"/>
    <m/>
    <x v="0"/>
    <x v="0"/>
    <x v="0"/>
  </r>
  <r>
    <x v="156"/>
    <x v="1"/>
    <s v="TrailBlazer 2000"/>
    <s v="High-performance mountain bike"/>
    <x v="0"/>
    <s v="Cross Country"/>
    <s v="L"/>
    <n v="22"/>
    <x v="1"/>
    <d v="2023-03-02T00:00:00"/>
    <x v="0"/>
    <x v="0"/>
    <n v="1050"/>
    <n v="1500"/>
    <n v="1"/>
    <x v="1"/>
    <m/>
    <x v="1"/>
    <x v="1"/>
    <x v="1"/>
  </r>
  <r>
    <x v="157"/>
    <x v="2"/>
    <s v="SpeedMaster 1000"/>
    <s v="Agile and aerodynamic road bike"/>
    <x v="1"/>
    <s v="Racing"/>
    <s v="M"/>
    <n v="18"/>
    <x v="2"/>
    <d v="2023-03-03T00:00:00"/>
    <x v="0"/>
    <x v="0"/>
    <n v="1260"/>
    <n v="1800"/>
    <n v="3"/>
    <x v="2"/>
    <m/>
    <x v="2"/>
    <x v="0"/>
    <x v="2"/>
  </r>
  <r>
    <x v="158"/>
    <x v="3"/>
    <s v="SpeedMaster 2000"/>
    <s v="Premium racing road bike"/>
    <x v="1"/>
    <s v="Racing"/>
    <s v="L"/>
    <n v="16"/>
    <x v="3"/>
    <d v="2023-03-04T00:00:00"/>
    <x v="0"/>
    <x v="0"/>
    <n v="1470"/>
    <n v="2100"/>
    <n v="1"/>
    <x v="3"/>
    <m/>
    <x v="3"/>
    <x v="0"/>
    <x v="0"/>
  </r>
  <r>
    <x v="159"/>
    <x v="4"/>
    <s v="Explorer 1000"/>
    <s v="Comfortable and durable touring bike"/>
    <x v="2"/>
    <s v="Long Distance"/>
    <s v="M"/>
    <n v="27"/>
    <x v="4"/>
    <d v="2023-03-05T00:00:00"/>
    <x v="0"/>
    <x v="0"/>
    <n v="897"/>
    <n v="1300"/>
    <n v="2"/>
    <x v="4"/>
    <m/>
    <x v="4"/>
    <x v="1"/>
    <x v="1"/>
  </r>
  <r>
    <x v="160"/>
    <x v="5"/>
    <s v="Explorer 2000"/>
    <s v="Advanced touring bike"/>
    <x v="2"/>
    <s v="Long Distance"/>
    <s v="L"/>
    <n v="24"/>
    <x v="5"/>
    <d v="2023-03-06T00:00:00"/>
    <x v="0"/>
    <x v="0"/>
    <n v="1104"/>
    <n v="1600"/>
    <n v="1"/>
    <x v="5"/>
    <m/>
    <x v="5"/>
    <x v="0"/>
    <x v="0"/>
  </r>
  <r>
    <x v="161"/>
    <x v="6"/>
    <s v="GravityMaster 1000"/>
    <s v="Rugged and durable downhill bike"/>
    <x v="0"/>
    <s v="Downhill"/>
    <s v="M"/>
    <n v="29"/>
    <x v="6"/>
    <d v="2023-03-07T00:00:00"/>
    <x v="0"/>
    <x v="0"/>
    <n v="1496"/>
    <n v="2200"/>
    <n v="2"/>
    <x v="6"/>
    <m/>
    <x v="6"/>
    <x v="1"/>
    <x v="0"/>
  </r>
  <r>
    <x v="162"/>
    <x v="7"/>
    <s v="GravityMaster 2000"/>
    <s v="Extreme downhill performance"/>
    <x v="0"/>
    <s v="Downhill"/>
    <s v="L"/>
    <n v="27"/>
    <x v="7"/>
    <d v="2023-03-08T00:00:00"/>
    <x v="0"/>
    <x v="0"/>
    <n v="1700"/>
    <n v="2500"/>
    <n v="1"/>
    <x v="7"/>
    <m/>
    <x v="7"/>
    <x v="0"/>
    <x v="1"/>
  </r>
  <r>
    <x v="163"/>
    <x v="8"/>
    <s v="Pathfinder 1000"/>
    <s v="Agile trail bike for all skill levels"/>
    <x v="0"/>
    <s v="Trail"/>
    <s v="M"/>
    <n v="24"/>
    <x v="8"/>
    <d v="2023-03-21T00:00:00"/>
    <x v="0"/>
    <x v="0"/>
    <n v="737"/>
    <n v="1100"/>
    <n v="2"/>
    <x v="8"/>
    <m/>
    <x v="8"/>
    <x v="0"/>
    <x v="0"/>
  </r>
  <r>
    <x v="164"/>
    <x v="9"/>
    <s v="Pathfinder 2000"/>
    <s v="High-performance trail bike"/>
    <x v="0"/>
    <s v="Trail"/>
    <s v="L"/>
    <n v="21"/>
    <x v="9"/>
    <d v="2023-03-22T00:00:00"/>
    <x v="0"/>
    <x v="0"/>
    <n v="938"/>
    <n v="1400"/>
    <n v="1"/>
    <x v="9"/>
    <m/>
    <x v="9"/>
    <x v="1"/>
    <x v="1"/>
  </r>
  <r>
    <x v="165"/>
    <x v="10"/>
    <s v="Voyager 1000"/>
    <s v="Comfortable touring road bike"/>
    <x v="1"/>
    <s v="Touring"/>
    <s v="M"/>
    <n v="20"/>
    <x v="10"/>
    <d v="2023-03-23T00:00:00"/>
    <x v="0"/>
    <x v="0"/>
    <n v="1190"/>
    <n v="1700"/>
    <n v="3"/>
    <x v="10"/>
    <m/>
    <x v="10"/>
    <x v="0"/>
    <x v="2"/>
  </r>
  <r>
    <x v="166"/>
    <x v="11"/>
    <s v="Voyager 2000"/>
    <s v="Advanced touring road bike"/>
    <x v="1"/>
    <s v="Touring"/>
    <s v="L"/>
    <n v="18"/>
    <x v="11"/>
    <d v="2023-03-24T00:00:00"/>
    <x v="0"/>
    <x v="0"/>
    <n v="1400"/>
    <n v="2000"/>
    <n v="1"/>
    <x v="11"/>
    <m/>
    <x v="11"/>
    <x v="0"/>
    <x v="0"/>
  </r>
  <r>
    <x v="167"/>
    <x v="12"/>
    <s v="Adventurer 1000"/>
    <s v="Durable bike for long adventures"/>
    <x v="2"/>
    <s v="Adventure"/>
    <s v="M"/>
    <n v="28"/>
    <x v="12"/>
    <d v="2023-03-25T00:00:00"/>
    <x v="0"/>
    <x v="0"/>
    <n v="975"/>
    <n v="1500"/>
    <n v="2"/>
    <x v="12"/>
    <m/>
    <x v="12"/>
    <x v="1"/>
    <x v="1"/>
  </r>
  <r>
    <x v="168"/>
    <x v="13"/>
    <s v="Adventurer 2000"/>
    <s v="Premium adventure touring bike"/>
    <x v="2"/>
    <s v="Adventure"/>
    <s v="L"/>
    <n v="26"/>
    <x v="13"/>
    <d v="2023-03-26T00:00:00"/>
    <x v="0"/>
    <x v="0"/>
    <n v="1170"/>
    <n v="1800"/>
    <n v="1"/>
    <x v="13"/>
    <m/>
    <x v="13"/>
    <x v="0"/>
    <x v="0"/>
  </r>
  <r>
    <x v="169"/>
    <x v="14"/>
    <s v="EnduroMaster 1000"/>
    <s v="Endurance-focused mountain bike"/>
    <x v="0"/>
    <s v="Enduro"/>
    <s v="M"/>
    <n v="30"/>
    <x v="14"/>
    <d v="2023-03-27T00:00:00"/>
    <x v="0"/>
    <x v="0"/>
    <n v="1656"/>
    <n v="2300"/>
    <n v="2"/>
    <x v="14"/>
    <m/>
    <x v="14"/>
    <x v="1"/>
    <x v="0"/>
  </r>
  <r>
    <x v="170"/>
    <x v="15"/>
    <s v="EnduroMaster 2000"/>
    <s v="High-performance enduro mountain bike"/>
    <x v="0"/>
    <s v="Enduro"/>
    <s v="L"/>
    <n v="28"/>
    <x v="15"/>
    <d v="2023-03-28T00:00:00"/>
    <x v="0"/>
    <x v="0"/>
    <n v="1872"/>
    <n v="2600"/>
    <n v="1"/>
    <x v="4"/>
    <m/>
    <x v="4"/>
    <x v="0"/>
    <x v="1"/>
  </r>
  <r>
    <x v="171"/>
    <x v="16"/>
    <s v="FatTrail 1000"/>
    <s v="All-terrain fat bike"/>
    <x v="0"/>
    <s v="Fat Bikes"/>
    <s v="M"/>
    <n v="32"/>
    <x v="16"/>
    <d v="2023-03-11T00:00:00"/>
    <x v="0"/>
    <x v="0"/>
    <n v="780"/>
    <n v="1300"/>
    <n v="2"/>
    <x v="4"/>
    <m/>
    <x v="4"/>
    <x v="0"/>
    <x v="0"/>
  </r>
  <r>
    <x v="172"/>
    <x v="17"/>
    <s v="FatTrail 2000"/>
    <s v="High-performance fat bike"/>
    <x v="0"/>
    <s v="Fat Bikes"/>
    <s v="L"/>
    <n v="29"/>
    <x v="17"/>
    <d v="2023-03-12T00:00:00"/>
    <x v="0"/>
    <x v="0"/>
    <n v="960"/>
    <n v="1600"/>
    <n v="1"/>
    <x v="5"/>
    <m/>
    <x v="5"/>
    <x v="1"/>
    <x v="1"/>
  </r>
  <r>
    <x v="173"/>
    <x v="18"/>
    <s v="CrossRider 1000"/>
    <s v="Versatile cyclocross bike"/>
    <x v="1"/>
    <s v="Cyclocross"/>
    <s v="M"/>
    <n v="21"/>
    <x v="18"/>
    <d v="2023-03-13T00:00:00"/>
    <x v="0"/>
    <x v="0"/>
    <n v="1292"/>
    <n v="1900"/>
    <n v="3"/>
    <x v="15"/>
    <m/>
    <x v="15"/>
    <x v="0"/>
    <x v="2"/>
  </r>
  <r>
    <x v="174"/>
    <x v="19"/>
    <s v="CrossRider 2000"/>
    <s v="Advanced cyclocross bike"/>
    <x v="1"/>
    <s v="Cyclocross"/>
    <s v="L"/>
    <n v="19"/>
    <x v="19"/>
    <d v="2023-03-14T00:00:00"/>
    <x v="0"/>
    <x v="0"/>
    <n v="1496"/>
    <n v="2200"/>
    <n v="1"/>
    <x v="8"/>
    <m/>
    <x v="8"/>
    <x v="0"/>
    <x v="0"/>
  </r>
  <r>
    <x v="175"/>
    <x v="18"/>
    <s v="CrossRider 1000"/>
    <s v="Versatile cyclocross bike"/>
    <x v="1"/>
    <s v="Cyclocross"/>
    <s v="M"/>
    <n v="21"/>
    <x v="18"/>
    <d v="2022-02-13T00:00:00"/>
    <x v="1"/>
    <x v="1"/>
    <n v="1292"/>
    <n v="1900"/>
    <n v="3"/>
    <x v="15"/>
    <m/>
    <x v="15"/>
    <x v="0"/>
    <x v="2"/>
  </r>
  <r>
    <x v="176"/>
    <x v="19"/>
    <s v="CrossRider 2000"/>
    <s v="Advanced cyclocross bike"/>
    <x v="1"/>
    <s v="Cyclocross"/>
    <s v="L"/>
    <n v="19"/>
    <x v="19"/>
    <d v="2022-02-14T00:00:00"/>
    <x v="1"/>
    <x v="1"/>
    <n v="1496"/>
    <n v="2200"/>
    <n v="1"/>
    <x v="8"/>
    <m/>
    <x v="8"/>
    <x v="0"/>
    <x v="0"/>
  </r>
  <r>
    <x v="177"/>
    <x v="20"/>
    <s v="DuoExplorer 1000"/>
    <s v="Comfortable tandem touring bike"/>
    <x v="2"/>
    <s v="Tandem"/>
    <s v="M"/>
    <n v="36"/>
    <x v="20"/>
    <d v="2022-02-15T00:00:00"/>
    <x v="1"/>
    <x v="1"/>
    <n v="1340"/>
    <n v="2000"/>
    <n v="2"/>
    <x v="16"/>
    <m/>
    <x v="16"/>
    <x v="1"/>
    <x v="1"/>
  </r>
  <r>
    <x v="178"/>
    <x v="21"/>
    <s v="DuoExplorer 2000"/>
    <s v="High-performance tandem touring bike"/>
    <x v="2"/>
    <s v="Tandem"/>
    <s v="L"/>
    <n v="34"/>
    <x v="21"/>
    <d v="2022-02-16T00:00:00"/>
    <x v="1"/>
    <x v="1"/>
    <n v="1541"/>
    <n v="2300"/>
    <n v="1"/>
    <x v="17"/>
    <m/>
    <x v="17"/>
    <x v="0"/>
    <x v="0"/>
  </r>
  <r>
    <x v="179"/>
    <x v="22"/>
    <s v="E-Mountain 1000"/>
    <s v="Electric mountain bike"/>
    <x v="0"/>
    <s v="Electric"/>
    <s v="M"/>
    <n v="40"/>
    <x v="22"/>
    <d v="2022-02-17T00:00:00"/>
    <x v="1"/>
    <x v="1"/>
    <n v="2250"/>
    <n v="3000"/>
    <n v="2"/>
    <x v="18"/>
    <m/>
    <x v="18"/>
    <x v="1"/>
    <x v="0"/>
  </r>
  <r>
    <x v="180"/>
    <x v="23"/>
    <s v="E-Mountain 2000"/>
    <s v="High-performance electric mountain bike"/>
    <x v="0"/>
    <s v="Electric"/>
    <s v="L"/>
    <n v="38"/>
    <x v="23"/>
    <d v="2022-02-18T00:00:00"/>
    <x v="1"/>
    <x v="1"/>
    <n v="2625"/>
    <n v="3500"/>
    <n v="1"/>
    <x v="19"/>
    <m/>
    <x v="19"/>
    <x v="0"/>
    <x v="1"/>
  </r>
  <r>
    <x v="181"/>
    <x v="24"/>
    <s v="UrbanEco 1000"/>
    <s v="Eco-friendly electric city bike"/>
    <x v="3"/>
    <s v="City"/>
    <s v="M"/>
    <n v="35"/>
    <x v="24"/>
    <d v="2022-02-01T00:00:00"/>
    <x v="1"/>
    <x v="1"/>
    <n v="1460"/>
    <n v="2000"/>
    <n v="2"/>
    <x v="16"/>
    <m/>
    <x v="16"/>
    <x v="0"/>
    <x v="0"/>
  </r>
  <r>
    <x v="182"/>
    <x v="25"/>
    <s v="UrbanEco 2000"/>
    <s v="High-performance electric city bike"/>
    <x v="3"/>
    <s v="City"/>
    <s v="L"/>
    <n v="33"/>
    <x v="25"/>
    <d v="2022-02-02T00:00:00"/>
    <x v="1"/>
    <x v="1"/>
    <n v="1825"/>
    <n v="2500"/>
    <n v="1"/>
    <x v="7"/>
    <m/>
    <x v="7"/>
    <x v="1"/>
    <x v="1"/>
  </r>
  <r>
    <x v="183"/>
    <x v="26"/>
    <s v="GravelMaster 1000"/>
    <s v="All-terrain gravel bike"/>
    <x v="1"/>
    <s v="Gravel"/>
    <s v="M"/>
    <n v="22"/>
    <x v="26"/>
    <d v="2022-02-03T00:00:00"/>
    <x v="1"/>
    <x v="1"/>
    <n v="1105"/>
    <n v="1700"/>
    <n v="3"/>
    <x v="10"/>
    <m/>
    <x v="10"/>
    <x v="0"/>
    <x v="2"/>
  </r>
  <r>
    <x v="184"/>
    <x v="27"/>
    <s v="GravelMaster 2000"/>
    <s v="High-performance gravel bike"/>
    <x v="1"/>
    <s v="Gravel"/>
    <s v="L"/>
    <n v="20"/>
    <x v="27"/>
    <d v="2022-02-04T00:00:00"/>
    <x v="1"/>
    <x v="1"/>
    <n v="1365"/>
    <n v="2100"/>
    <n v="1"/>
    <x v="3"/>
    <m/>
    <x v="3"/>
    <x v="0"/>
    <x v="0"/>
  </r>
  <r>
    <x v="185"/>
    <x v="28"/>
    <s v="FoldAway 1000"/>
    <s v="Compact folding touring bike"/>
    <x v="2"/>
    <s v="Folding"/>
    <s v="M"/>
    <n v="30"/>
    <x v="28"/>
    <d v="2022-02-05T00:00:00"/>
    <x v="1"/>
    <x v="1"/>
    <n v="1035"/>
    <n v="1500"/>
    <n v="2"/>
    <x v="12"/>
    <m/>
    <x v="12"/>
    <x v="1"/>
    <x v="1"/>
  </r>
  <r>
    <x v="186"/>
    <x v="29"/>
    <s v="FoldAway 2000"/>
    <s v="Advanced folding touring bike"/>
    <x v="2"/>
    <s v="Folding"/>
    <s v="L"/>
    <n v="28"/>
    <x v="29"/>
    <d v="2022-02-06T00:00:00"/>
    <x v="1"/>
    <x v="1"/>
    <n v="1242"/>
    <n v="1800"/>
    <n v="1"/>
    <x v="13"/>
    <m/>
    <x v="13"/>
    <x v="0"/>
    <x v="0"/>
  </r>
  <r>
    <x v="187"/>
    <x v="30"/>
    <s v="E-TrailBlazer 1000"/>
    <s v="Electric mountain bike"/>
    <x v="3"/>
    <s v="Mountain"/>
    <s v="M"/>
    <n v="42"/>
    <x v="30"/>
    <d v="2022-02-07T00:00:00"/>
    <x v="1"/>
    <x v="1"/>
    <n v="2080"/>
    <n v="3200"/>
    <n v="2"/>
    <x v="20"/>
    <m/>
    <x v="20"/>
    <x v="1"/>
    <x v="0"/>
  </r>
  <r>
    <x v="188"/>
    <x v="31"/>
    <s v="E-TrailBlazer 2000"/>
    <s v="High-performance electric mountain bike"/>
    <x v="3"/>
    <s v="Mountain"/>
    <s v="L"/>
    <n v="40"/>
    <x v="31"/>
    <d v="2022-02-08T00:00:00"/>
    <x v="1"/>
    <x v="1"/>
    <n v="2405"/>
    <n v="3700"/>
    <n v="1"/>
    <x v="21"/>
    <m/>
    <x v="21"/>
    <x v="0"/>
    <x v="1"/>
  </r>
  <r>
    <x v="189"/>
    <x v="0"/>
    <s v="TrailBlazer 1000"/>
    <s v="Lightweight and versatile"/>
    <x v="0"/>
    <s v="Cross Country"/>
    <s v="M"/>
    <n v="25"/>
    <x v="0"/>
    <d v="2022-02-01T00:00:00"/>
    <x v="1"/>
    <x v="1"/>
    <n v="840"/>
    <n v="1200"/>
    <n v="2"/>
    <x v="0"/>
    <m/>
    <x v="0"/>
    <x v="0"/>
    <x v="0"/>
  </r>
  <r>
    <x v="190"/>
    <x v="1"/>
    <s v="TrailBlazer 2000"/>
    <s v="High-performance mountain bike"/>
    <x v="0"/>
    <s v="Cross Country"/>
    <s v="L"/>
    <n v="22"/>
    <x v="1"/>
    <d v="2022-02-02T00:00:00"/>
    <x v="1"/>
    <x v="1"/>
    <n v="1050"/>
    <n v="1500"/>
    <n v="1"/>
    <x v="1"/>
    <m/>
    <x v="1"/>
    <x v="1"/>
    <x v="1"/>
  </r>
  <r>
    <x v="191"/>
    <x v="2"/>
    <s v="SpeedMaster 1000"/>
    <s v="Agile and aerodynamic road bike"/>
    <x v="1"/>
    <s v="Racing"/>
    <s v="M"/>
    <n v="18"/>
    <x v="2"/>
    <d v="2022-02-03T00:00:00"/>
    <x v="1"/>
    <x v="1"/>
    <n v="1260"/>
    <n v="1800"/>
    <n v="3"/>
    <x v="2"/>
    <m/>
    <x v="2"/>
    <x v="0"/>
    <x v="2"/>
  </r>
  <r>
    <x v="192"/>
    <x v="3"/>
    <s v="SpeedMaster 2000"/>
    <s v="Premium racing road bike"/>
    <x v="1"/>
    <s v="Racing"/>
    <s v="L"/>
    <n v="16"/>
    <x v="3"/>
    <d v="2022-02-04T00:00:00"/>
    <x v="1"/>
    <x v="1"/>
    <n v="1470"/>
    <n v="2100"/>
    <n v="1"/>
    <x v="3"/>
    <m/>
    <x v="3"/>
    <x v="0"/>
    <x v="0"/>
  </r>
  <r>
    <x v="193"/>
    <x v="4"/>
    <s v="Explorer 1000"/>
    <s v="Comfortable and durable touring bike"/>
    <x v="2"/>
    <s v="Long Distance"/>
    <s v="M"/>
    <n v="27"/>
    <x v="4"/>
    <d v="2022-02-05T00:00:00"/>
    <x v="1"/>
    <x v="1"/>
    <n v="897"/>
    <n v="1300"/>
    <n v="2"/>
    <x v="4"/>
    <m/>
    <x v="4"/>
    <x v="1"/>
    <x v="1"/>
  </r>
  <r>
    <x v="194"/>
    <x v="5"/>
    <s v="Explorer 2000"/>
    <s v="Advanced touring bike"/>
    <x v="2"/>
    <s v="Long Distance"/>
    <s v="L"/>
    <n v="24"/>
    <x v="5"/>
    <d v="2022-02-06T00:00:00"/>
    <x v="1"/>
    <x v="1"/>
    <n v="1104"/>
    <n v="1600"/>
    <n v="1"/>
    <x v="5"/>
    <m/>
    <x v="5"/>
    <x v="0"/>
    <x v="0"/>
  </r>
  <r>
    <x v="195"/>
    <x v="6"/>
    <s v="GravityMaster 1000"/>
    <s v="Rugged and durable downhill bike"/>
    <x v="0"/>
    <s v="Downhill"/>
    <s v="M"/>
    <n v="29"/>
    <x v="6"/>
    <d v="2022-02-07T00:00:00"/>
    <x v="1"/>
    <x v="1"/>
    <n v="1496"/>
    <n v="2200"/>
    <n v="2"/>
    <x v="6"/>
    <m/>
    <x v="6"/>
    <x v="1"/>
    <x v="0"/>
  </r>
  <r>
    <x v="196"/>
    <x v="7"/>
    <s v="GravityMaster 2000"/>
    <s v="Extreme downhill performance"/>
    <x v="0"/>
    <s v="Downhill"/>
    <s v="L"/>
    <n v="27"/>
    <x v="7"/>
    <d v="2022-02-08T00:00:00"/>
    <x v="1"/>
    <x v="1"/>
    <n v="1700"/>
    <n v="2500"/>
    <n v="1"/>
    <x v="7"/>
    <m/>
    <x v="7"/>
    <x v="0"/>
    <x v="1"/>
  </r>
  <r>
    <x v="197"/>
    <x v="6"/>
    <s v="GravityMaster 1000"/>
    <s v="Rugged and durable downhill bike"/>
    <x v="0"/>
    <s v="Downhill"/>
    <s v="M"/>
    <n v="29"/>
    <x v="6"/>
    <d v="2022-02-07T00:00:00"/>
    <x v="1"/>
    <x v="1"/>
    <n v="1496"/>
    <n v="2200"/>
    <n v="2"/>
    <x v="6"/>
    <m/>
    <x v="6"/>
    <x v="1"/>
    <x v="0"/>
  </r>
  <r>
    <x v="198"/>
    <x v="7"/>
    <s v="GravityMaster 2000"/>
    <s v="Extreme downhill performance"/>
    <x v="0"/>
    <s v="Downhill"/>
    <s v="L"/>
    <n v="27"/>
    <x v="7"/>
    <d v="2022-02-08T00:00:00"/>
    <x v="1"/>
    <x v="1"/>
    <n v="1700"/>
    <n v="2500"/>
    <n v="1"/>
    <x v="7"/>
    <m/>
    <x v="7"/>
    <x v="0"/>
    <x v="1"/>
  </r>
  <r>
    <x v="199"/>
    <x v="8"/>
    <s v="Pathfinder 1000"/>
    <s v="Agile trail bike for all skill levels"/>
    <x v="0"/>
    <s v="Trail"/>
    <s v="M"/>
    <n v="24"/>
    <x v="8"/>
    <d v="2022-02-21T00:00:00"/>
    <x v="1"/>
    <x v="1"/>
    <n v="737"/>
    <n v="1100"/>
    <n v="2"/>
    <x v="8"/>
    <m/>
    <x v="8"/>
    <x v="0"/>
    <x v="0"/>
  </r>
  <r>
    <x v="200"/>
    <x v="9"/>
    <s v="Pathfinder 2000"/>
    <s v="High-performance trail bike"/>
    <x v="0"/>
    <s v="Trail"/>
    <s v="L"/>
    <n v="21"/>
    <x v="9"/>
    <d v="2022-02-22T00:00:00"/>
    <x v="1"/>
    <x v="1"/>
    <n v="938"/>
    <n v="1400"/>
    <n v="1"/>
    <x v="9"/>
    <m/>
    <x v="9"/>
    <x v="1"/>
    <x v="1"/>
  </r>
  <r>
    <x v="201"/>
    <x v="10"/>
    <s v="Voyager 1000"/>
    <s v="Comfortable touring road bike"/>
    <x v="1"/>
    <s v="Touring"/>
    <s v="M"/>
    <n v="20"/>
    <x v="10"/>
    <d v="2022-02-23T00:00:00"/>
    <x v="1"/>
    <x v="1"/>
    <n v="1190"/>
    <n v="1700"/>
    <n v="3"/>
    <x v="10"/>
    <m/>
    <x v="10"/>
    <x v="0"/>
    <x v="2"/>
  </r>
  <r>
    <x v="202"/>
    <x v="11"/>
    <s v="Voyager 2000"/>
    <s v="Advanced touring road bike"/>
    <x v="1"/>
    <s v="Touring"/>
    <s v="L"/>
    <n v="18"/>
    <x v="11"/>
    <d v="2022-02-24T00:00:00"/>
    <x v="1"/>
    <x v="1"/>
    <n v="1400"/>
    <n v="2000"/>
    <n v="1"/>
    <x v="11"/>
    <m/>
    <x v="11"/>
    <x v="0"/>
    <x v="0"/>
  </r>
  <r>
    <x v="203"/>
    <x v="12"/>
    <s v="Adventurer 1000"/>
    <s v="Durable bike for long adventures"/>
    <x v="2"/>
    <s v="Adventure"/>
    <s v="M"/>
    <n v="28"/>
    <x v="12"/>
    <d v="2022-02-25T00:00:00"/>
    <x v="1"/>
    <x v="1"/>
    <n v="975"/>
    <n v="1500"/>
    <n v="2"/>
    <x v="12"/>
    <m/>
    <x v="12"/>
    <x v="1"/>
    <x v="1"/>
  </r>
  <r>
    <x v="204"/>
    <x v="13"/>
    <s v="Adventurer 2000"/>
    <s v="Premium adventure touring bike"/>
    <x v="2"/>
    <s v="Adventure"/>
    <s v="L"/>
    <n v="26"/>
    <x v="13"/>
    <d v="2022-02-26T00:00:00"/>
    <x v="1"/>
    <x v="1"/>
    <n v="1170"/>
    <n v="1800"/>
    <n v="1"/>
    <x v="13"/>
    <m/>
    <x v="13"/>
    <x v="0"/>
    <x v="0"/>
  </r>
  <r>
    <x v="205"/>
    <x v="14"/>
    <s v="EnduroMaster 1000"/>
    <s v="Endurance-focused mountain bike"/>
    <x v="0"/>
    <s v="Enduro"/>
    <s v="M"/>
    <n v="30"/>
    <x v="14"/>
    <d v="2022-02-27T00:00:00"/>
    <x v="1"/>
    <x v="1"/>
    <n v="1656"/>
    <n v="2300"/>
    <n v="2"/>
    <x v="14"/>
    <m/>
    <x v="14"/>
    <x v="1"/>
    <x v="0"/>
  </r>
  <r>
    <x v="206"/>
    <x v="15"/>
    <s v="EnduroMaster 2000"/>
    <s v="High-performance enduro mountain bike"/>
    <x v="0"/>
    <s v="Enduro"/>
    <s v="L"/>
    <n v="28"/>
    <x v="15"/>
    <d v="2022-02-28T00:00:00"/>
    <x v="1"/>
    <x v="1"/>
    <n v="1872"/>
    <n v="2600"/>
    <n v="1"/>
    <x v="4"/>
    <m/>
    <x v="4"/>
    <x v="0"/>
    <x v="1"/>
  </r>
  <r>
    <x v="207"/>
    <x v="16"/>
    <s v="FatTrail 1000"/>
    <s v="All-terrain fat bike"/>
    <x v="0"/>
    <s v="Fat Bikes"/>
    <s v="M"/>
    <n v="32"/>
    <x v="16"/>
    <d v="2022-02-11T00:00:00"/>
    <x v="1"/>
    <x v="1"/>
    <n v="780"/>
    <n v="1300"/>
    <n v="2"/>
    <x v="4"/>
    <m/>
    <x v="4"/>
    <x v="0"/>
    <x v="0"/>
  </r>
  <r>
    <x v="208"/>
    <x v="17"/>
    <s v="FatTrail 2000"/>
    <s v="High-performance fat bike"/>
    <x v="0"/>
    <s v="Fat Bikes"/>
    <s v="L"/>
    <n v="29"/>
    <x v="17"/>
    <d v="2022-02-12T00:00:00"/>
    <x v="1"/>
    <x v="1"/>
    <n v="960"/>
    <n v="1600"/>
    <n v="1"/>
    <x v="5"/>
    <m/>
    <x v="5"/>
    <x v="1"/>
    <x v="1"/>
  </r>
  <r>
    <x v="209"/>
    <x v="10"/>
    <s v="Voyager 1000"/>
    <s v="Comfortable touring road bike"/>
    <x v="1"/>
    <s v="Touring"/>
    <s v="M"/>
    <n v="20"/>
    <x v="10"/>
    <d v="2022-03-23T00:00:00"/>
    <x v="0"/>
    <x v="1"/>
    <n v="1190"/>
    <n v="1700"/>
    <n v="3"/>
    <x v="10"/>
    <m/>
    <x v="10"/>
    <x v="0"/>
    <x v="2"/>
  </r>
  <r>
    <x v="210"/>
    <x v="11"/>
    <s v="Voyager 2000"/>
    <s v="Advanced touring road bike"/>
    <x v="1"/>
    <s v="Touring"/>
    <s v="L"/>
    <n v="18"/>
    <x v="11"/>
    <d v="2022-03-24T00:00:00"/>
    <x v="0"/>
    <x v="1"/>
    <n v="1400"/>
    <n v="2000"/>
    <n v="1"/>
    <x v="11"/>
    <m/>
    <x v="11"/>
    <x v="0"/>
    <x v="0"/>
  </r>
  <r>
    <x v="211"/>
    <x v="12"/>
    <s v="Adventurer 1000"/>
    <s v="Durable bike for long adventures"/>
    <x v="2"/>
    <s v="Adventure"/>
    <s v="M"/>
    <n v="28"/>
    <x v="12"/>
    <d v="2022-03-25T00:00:00"/>
    <x v="0"/>
    <x v="1"/>
    <n v="975"/>
    <n v="1500"/>
    <n v="2"/>
    <x v="12"/>
    <m/>
    <x v="12"/>
    <x v="1"/>
    <x v="1"/>
  </r>
  <r>
    <x v="212"/>
    <x v="13"/>
    <s v="Adventurer 2000"/>
    <s v="Premium adventure touring bike"/>
    <x v="2"/>
    <s v="Adventure"/>
    <s v="L"/>
    <n v="26"/>
    <x v="13"/>
    <d v="2022-03-26T00:00:00"/>
    <x v="0"/>
    <x v="1"/>
    <n v="1170"/>
    <n v="1800"/>
    <n v="1"/>
    <x v="13"/>
    <m/>
    <x v="13"/>
    <x v="0"/>
    <x v="0"/>
  </r>
  <r>
    <x v="213"/>
    <x v="14"/>
    <s v="EnduroMaster 1000"/>
    <s v="Endurance-focused mountain bike"/>
    <x v="0"/>
    <s v="Enduro"/>
    <s v="M"/>
    <n v="30"/>
    <x v="14"/>
    <d v="2022-03-27T00:00:00"/>
    <x v="0"/>
    <x v="1"/>
    <n v="1656"/>
    <n v="2300"/>
    <n v="2"/>
    <x v="14"/>
    <m/>
    <x v="14"/>
    <x v="1"/>
    <x v="0"/>
  </r>
  <r>
    <x v="214"/>
    <x v="15"/>
    <s v="EnduroMaster 2000"/>
    <s v="High-performance enduro mountain bike"/>
    <x v="0"/>
    <s v="Enduro"/>
    <s v="L"/>
    <n v="28"/>
    <x v="15"/>
    <d v="2022-03-28T00:00:00"/>
    <x v="0"/>
    <x v="1"/>
    <n v="1872"/>
    <n v="2600"/>
    <n v="1"/>
    <x v="4"/>
    <m/>
    <x v="4"/>
    <x v="0"/>
    <x v="1"/>
  </r>
  <r>
    <x v="215"/>
    <x v="0"/>
    <s v="TrailBlazer 1000"/>
    <s v="Lightweight and versatile"/>
    <x v="0"/>
    <s v="Cross Country"/>
    <s v="M"/>
    <n v="25"/>
    <x v="0"/>
    <d v="2022-03-01T00:00:00"/>
    <x v="0"/>
    <x v="1"/>
    <n v="840"/>
    <n v="1200"/>
    <n v="2"/>
    <x v="0"/>
    <m/>
    <x v="0"/>
    <x v="0"/>
    <x v="0"/>
  </r>
  <r>
    <x v="216"/>
    <x v="1"/>
    <s v="TrailBlazer 2000"/>
    <s v="High-performance mountain bike"/>
    <x v="0"/>
    <s v="Cross Country"/>
    <s v="L"/>
    <n v="22"/>
    <x v="1"/>
    <d v="2022-03-02T00:00:00"/>
    <x v="0"/>
    <x v="1"/>
    <n v="1050"/>
    <n v="1500"/>
    <n v="1"/>
    <x v="1"/>
    <m/>
    <x v="1"/>
    <x v="1"/>
    <x v="1"/>
  </r>
  <r>
    <x v="217"/>
    <x v="2"/>
    <s v="SpeedMaster 1000"/>
    <s v="Agile and aerodynamic road bike"/>
    <x v="1"/>
    <s v="Racing"/>
    <s v="M"/>
    <n v="18"/>
    <x v="2"/>
    <d v="2022-03-03T00:00:00"/>
    <x v="0"/>
    <x v="1"/>
    <n v="1260"/>
    <n v="1800"/>
    <n v="3"/>
    <x v="2"/>
    <m/>
    <x v="2"/>
    <x v="0"/>
    <x v="2"/>
  </r>
  <r>
    <x v="218"/>
    <x v="3"/>
    <s v="SpeedMaster 2000"/>
    <s v="Premium racing road bike"/>
    <x v="1"/>
    <s v="Racing"/>
    <s v="L"/>
    <n v="16"/>
    <x v="3"/>
    <d v="2022-03-04T00:00:00"/>
    <x v="0"/>
    <x v="1"/>
    <n v="1470"/>
    <n v="2100"/>
    <n v="1"/>
    <x v="3"/>
    <m/>
    <x v="3"/>
    <x v="0"/>
    <x v="0"/>
  </r>
  <r>
    <x v="219"/>
    <x v="4"/>
    <s v="Explorer 1000"/>
    <s v="Comfortable and durable touring bike"/>
    <x v="2"/>
    <s v="Long Distance"/>
    <s v="M"/>
    <n v="27"/>
    <x v="4"/>
    <d v="2022-03-05T00:00:00"/>
    <x v="0"/>
    <x v="1"/>
    <n v="897"/>
    <n v="1300"/>
    <n v="2"/>
    <x v="4"/>
    <m/>
    <x v="4"/>
    <x v="1"/>
    <x v="1"/>
  </r>
  <r>
    <x v="220"/>
    <x v="5"/>
    <s v="Explorer 2000"/>
    <s v="Advanced touring bike"/>
    <x v="2"/>
    <s v="Long Distance"/>
    <s v="L"/>
    <n v="24"/>
    <x v="5"/>
    <d v="2022-03-06T00:00:00"/>
    <x v="0"/>
    <x v="1"/>
    <n v="1104"/>
    <n v="1600"/>
    <n v="1"/>
    <x v="5"/>
    <m/>
    <x v="5"/>
    <x v="0"/>
    <x v="0"/>
  </r>
  <r>
    <x v="221"/>
    <x v="6"/>
    <s v="GravityMaster 1000"/>
    <s v="Rugged and durable downhill bike"/>
    <x v="0"/>
    <s v="Downhill"/>
    <s v="M"/>
    <n v="29"/>
    <x v="6"/>
    <d v="2022-03-07T00:00:00"/>
    <x v="0"/>
    <x v="1"/>
    <n v="1496"/>
    <n v="2200"/>
    <n v="2"/>
    <x v="6"/>
    <m/>
    <x v="6"/>
    <x v="1"/>
    <x v="0"/>
  </r>
  <r>
    <x v="222"/>
    <x v="7"/>
    <s v="GravityMaster 2000"/>
    <s v="Extreme downhill performance"/>
    <x v="0"/>
    <s v="Downhill"/>
    <s v="L"/>
    <n v="27"/>
    <x v="7"/>
    <d v="2022-03-08T00:00:00"/>
    <x v="0"/>
    <x v="1"/>
    <n v="1700"/>
    <n v="2500"/>
    <n v="1"/>
    <x v="7"/>
    <m/>
    <x v="7"/>
    <x v="0"/>
    <x v="1"/>
  </r>
  <r>
    <x v="223"/>
    <x v="8"/>
    <s v="Pathfinder 1000"/>
    <s v="Agile trail bike for all skill levels"/>
    <x v="0"/>
    <s v="Trail"/>
    <s v="M"/>
    <n v="24"/>
    <x v="8"/>
    <d v="2022-03-21T00:00:00"/>
    <x v="0"/>
    <x v="1"/>
    <n v="737"/>
    <n v="1100"/>
    <n v="2"/>
    <x v="8"/>
    <m/>
    <x v="8"/>
    <x v="0"/>
    <x v="0"/>
  </r>
  <r>
    <x v="224"/>
    <x v="9"/>
    <s v="Pathfinder 2000"/>
    <s v="High-performance trail bike"/>
    <x v="0"/>
    <s v="Trail"/>
    <s v="L"/>
    <n v="21"/>
    <x v="9"/>
    <d v="2022-03-22T00:00:00"/>
    <x v="0"/>
    <x v="1"/>
    <n v="938"/>
    <n v="1400"/>
    <n v="1"/>
    <x v="9"/>
    <m/>
    <x v="9"/>
    <x v="1"/>
    <x v="1"/>
  </r>
  <r>
    <x v="225"/>
    <x v="10"/>
    <s v="Voyager 1000"/>
    <s v="Comfortable touring road bike"/>
    <x v="1"/>
    <s v="Touring"/>
    <s v="M"/>
    <n v="20"/>
    <x v="10"/>
    <d v="2022-03-23T00:00:00"/>
    <x v="0"/>
    <x v="1"/>
    <n v="1190"/>
    <n v="1700"/>
    <n v="3"/>
    <x v="10"/>
    <m/>
    <x v="10"/>
    <x v="0"/>
    <x v="2"/>
  </r>
  <r>
    <x v="226"/>
    <x v="11"/>
    <s v="Voyager 2000"/>
    <s v="Advanced touring road bike"/>
    <x v="1"/>
    <s v="Touring"/>
    <s v="L"/>
    <n v="18"/>
    <x v="11"/>
    <d v="2022-03-24T00:00:00"/>
    <x v="0"/>
    <x v="1"/>
    <n v="1400"/>
    <n v="2000"/>
    <n v="1"/>
    <x v="11"/>
    <m/>
    <x v="11"/>
    <x v="0"/>
    <x v="0"/>
  </r>
  <r>
    <x v="227"/>
    <x v="12"/>
    <s v="Adventurer 1000"/>
    <s v="Durable bike for long adventures"/>
    <x v="2"/>
    <s v="Adventure"/>
    <s v="M"/>
    <n v="28"/>
    <x v="12"/>
    <d v="2022-03-25T00:00:00"/>
    <x v="0"/>
    <x v="1"/>
    <n v="975"/>
    <n v="1500"/>
    <n v="2"/>
    <x v="12"/>
    <m/>
    <x v="12"/>
    <x v="1"/>
    <x v="1"/>
  </r>
  <r>
    <x v="228"/>
    <x v="13"/>
    <s v="Adventurer 2000"/>
    <s v="Premium adventure touring bike"/>
    <x v="2"/>
    <s v="Adventure"/>
    <s v="L"/>
    <n v="26"/>
    <x v="13"/>
    <d v="2022-03-26T00:00:00"/>
    <x v="0"/>
    <x v="1"/>
    <n v="1170"/>
    <n v="1800"/>
    <n v="1"/>
    <x v="13"/>
    <m/>
    <x v="13"/>
    <x v="0"/>
    <x v="0"/>
  </r>
  <r>
    <x v="229"/>
    <x v="14"/>
    <s v="EnduroMaster 1000"/>
    <s v="Endurance-focused mountain bike"/>
    <x v="0"/>
    <s v="Enduro"/>
    <s v="M"/>
    <n v="30"/>
    <x v="14"/>
    <d v="2022-03-27T00:00:00"/>
    <x v="0"/>
    <x v="1"/>
    <n v="1656"/>
    <n v="2300"/>
    <n v="2"/>
    <x v="14"/>
    <m/>
    <x v="14"/>
    <x v="1"/>
    <x v="0"/>
  </r>
  <r>
    <x v="230"/>
    <x v="15"/>
    <s v="EnduroMaster 2000"/>
    <s v="High-performance enduro mountain bike"/>
    <x v="0"/>
    <s v="Enduro"/>
    <s v="L"/>
    <n v="28"/>
    <x v="15"/>
    <d v="2022-03-28T00:00:00"/>
    <x v="0"/>
    <x v="1"/>
    <n v="1872"/>
    <n v="2600"/>
    <n v="1"/>
    <x v="4"/>
    <m/>
    <x v="4"/>
    <x v="0"/>
    <x v="1"/>
  </r>
  <r>
    <x v="231"/>
    <x v="16"/>
    <s v="FatTrail 1000"/>
    <s v="All-terrain fat bike"/>
    <x v="0"/>
    <s v="Fat Bikes"/>
    <s v="M"/>
    <n v="32"/>
    <x v="16"/>
    <d v="2022-03-11T00:00:00"/>
    <x v="0"/>
    <x v="1"/>
    <n v="780"/>
    <n v="1300"/>
    <n v="2"/>
    <x v="4"/>
    <m/>
    <x v="4"/>
    <x v="0"/>
    <x v="0"/>
  </r>
  <r>
    <x v="232"/>
    <x v="17"/>
    <s v="FatTrail 2000"/>
    <s v="High-performance fat bike"/>
    <x v="0"/>
    <s v="Fat Bikes"/>
    <s v="L"/>
    <n v="29"/>
    <x v="17"/>
    <d v="2022-03-12T00:00:00"/>
    <x v="0"/>
    <x v="1"/>
    <n v="960"/>
    <n v="1600"/>
    <n v="1"/>
    <x v="5"/>
    <m/>
    <x v="5"/>
    <x v="1"/>
    <x v="1"/>
  </r>
  <r>
    <x v="233"/>
    <x v="18"/>
    <s v="CrossRider 1000"/>
    <s v="Versatile cyclocross bike"/>
    <x v="1"/>
    <s v="Cyclocross"/>
    <s v="M"/>
    <n v="21"/>
    <x v="18"/>
    <d v="2022-03-13T00:00:00"/>
    <x v="0"/>
    <x v="1"/>
    <n v="1292"/>
    <n v="1900"/>
    <n v="3"/>
    <x v="15"/>
    <m/>
    <x v="15"/>
    <x v="0"/>
    <x v="2"/>
  </r>
  <r>
    <x v="234"/>
    <x v="19"/>
    <s v="CrossRider 2000"/>
    <s v="Advanced cyclocross bike"/>
    <x v="1"/>
    <s v="Cyclocross"/>
    <s v="L"/>
    <n v="19"/>
    <x v="19"/>
    <d v="2022-03-14T00:00:00"/>
    <x v="0"/>
    <x v="1"/>
    <n v="1496"/>
    <n v="2200"/>
    <n v="1"/>
    <x v="8"/>
    <m/>
    <x v="8"/>
    <x v="0"/>
    <x v="0"/>
  </r>
  <r>
    <x v="235"/>
    <x v="20"/>
    <s v="DuoExplorer 1000"/>
    <s v="Comfortable tandem touring bike"/>
    <x v="2"/>
    <s v="Tandem"/>
    <s v="M"/>
    <n v="36"/>
    <x v="20"/>
    <d v="2022-03-15T00:00:00"/>
    <x v="0"/>
    <x v="1"/>
    <n v="1340"/>
    <n v="2000"/>
    <n v="2"/>
    <x v="16"/>
    <m/>
    <x v="16"/>
    <x v="1"/>
    <x v="1"/>
  </r>
  <r>
    <x v="236"/>
    <x v="21"/>
    <s v="DuoExplorer 2000"/>
    <s v="High-performance tandem touring bike"/>
    <x v="2"/>
    <s v="Tandem"/>
    <s v="L"/>
    <n v="34"/>
    <x v="21"/>
    <d v="2022-03-16T00:00:00"/>
    <x v="0"/>
    <x v="1"/>
    <n v="1541"/>
    <n v="2300"/>
    <n v="1"/>
    <x v="17"/>
    <m/>
    <x v="17"/>
    <x v="0"/>
    <x v="0"/>
  </r>
  <r>
    <x v="237"/>
    <x v="22"/>
    <s v="E-Mountain 1000"/>
    <s v="Electric mountain bike"/>
    <x v="0"/>
    <s v="Electric"/>
    <s v="M"/>
    <n v="40"/>
    <x v="22"/>
    <d v="2022-03-17T00:00:00"/>
    <x v="0"/>
    <x v="1"/>
    <n v="2250"/>
    <n v="3000"/>
    <n v="2"/>
    <x v="18"/>
    <m/>
    <x v="18"/>
    <x v="1"/>
    <x v="0"/>
  </r>
  <r>
    <x v="238"/>
    <x v="23"/>
    <s v="E-Mountain 2000"/>
    <s v="High-performance electric mountain bike"/>
    <x v="0"/>
    <s v="Electric"/>
    <s v="L"/>
    <n v="38"/>
    <x v="23"/>
    <d v="2022-03-18T00:00:00"/>
    <x v="0"/>
    <x v="1"/>
    <n v="2625"/>
    <n v="3500"/>
    <n v="1"/>
    <x v="19"/>
    <m/>
    <x v="19"/>
    <x v="0"/>
    <x v="1"/>
  </r>
  <r>
    <x v="239"/>
    <x v="24"/>
    <s v="UrbanEco 1000"/>
    <s v="Eco-friendly electric city bike"/>
    <x v="3"/>
    <s v="City"/>
    <s v="M"/>
    <n v="35"/>
    <x v="24"/>
    <d v="2022-03-01T00:00:00"/>
    <x v="0"/>
    <x v="1"/>
    <n v="1460"/>
    <n v="2000"/>
    <n v="2"/>
    <x v="16"/>
    <m/>
    <x v="16"/>
    <x v="0"/>
    <x v="0"/>
  </r>
  <r>
    <x v="240"/>
    <x v="25"/>
    <s v="UrbanEco 2000"/>
    <s v="High-performance electric city bike"/>
    <x v="3"/>
    <s v="City"/>
    <s v="L"/>
    <n v="33"/>
    <x v="25"/>
    <d v="2022-03-02T00:00:00"/>
    <x v="0"/>
    <x v="1"/>
    <n v="1825"/>
    <n v="2500"/>
    <n v="1"/>
    <x v="7"/>
    <m/>
    <x v="7"/>
    <x v="1"/>
    <x v="1"/>
  </r>
  <r>
    <x v="241"/>
    <x v="26"/>
    <s v="GravelMaster 1000"/>
    <s v="All-terrain gravel bike"/>
    <x v="1"/>
    <s v="Gravel"/>
    <s v="M"/>
    <n v="22"/>
    <x v="26"/>
    <d v="2022-03-03T00:00:00"/>
    <x v="0"/>
    <x v="1"/>
    <n v="1105"/>
    <n v="1700"/>
    <n v="3"/>
    <x v="10"/>
    <m/>
    <x v="10"/>
    <x v="0"/>
    <x v="2"/>
  </r>
  <r>
    <x v="242"/>
    <x v="27"/>
    <s v="GravelMaster 2000"/>
    <s v="High-performance gravel bike"/>
    <x v="1"/>
    <s v="Gravel"/>
    <s v="L"/>
    <n v="20"/>
    <x v="27"/>
    <d v="2022-03-04T00:00:00"/>
    <x v="0"/>
    <x v="1"/>
    <n v="1365"/>
    <n v="2100"/>
    <n v="1"/>
    <x v="3"/>
    <m/>
    <x v="3"/>
    <x v="0"/>
    <x v="0"/>
  </r>
  <r>
    <x v="243"/>
    <x v="28"/>
    <s v="FoldAway 1000"/>
    <s v="Compact folding touring bike"/>
    <x v="2"/>
    <s v="Folding"/>
    <s v="M"/>
    <n v="30"/>
    <x v="28"/>
    <d v="2022-03-05T00:00:00"/>
    <x v="0"/>
    <x v="1"/>
    <n v="1035"/>
    <n v="1500"/>
    <n v="2"/>
    <x v="12"/>
    <m/>
    <x v="12"/>
    <x v="1"/>
    <x v="1"/>
  </r>
  <r>
    <x v="244"/>
    <x v="29"/>
    <s v="FoldAway 2000"/>
    <s v="Advanced folding touring bike"/>
    <x v="2"/>
    <s v="Folding"/>
    <s v="L"/>
    <n v="28"/>
    <x v="29"/>
    <d v="2022-03-06T00:00:00"/>
    <x v="0"/>
    <x v="1"/>
    <n v="1242"/>
    <n v="1800"/>
    <n v="1"/>
    <x v="13"/>
    <m/>
    <x v="1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4" cacheId="0" applyNumberFormats="0" applyBorderFormats="0" applyFontFormats="0" applyPatternFormats="0" applyAlignmentFormats="0" applyWidthHeightFormats="1" dataCaption="Values" updatedVersion="8" minRefreshableVersion="3" useAutoFormatting="1" createdVersion="3" indent="0" compact="0" compactData="0" multipleFieldFilters="0">
  <location ref="A6:A7" firstHeaderRow="1" firstDataRow="1" firstDataCol="0"/>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dataField="1"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defaultSubtotal="0">
      <items count="7">
        <item x="6"/>
        <item x="3"/>
        <item x="4"/>
        <item x="5"/>
        <item x="0"/>
        <item x="1"/>
        <item x="2"/>
      </items>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compact="0" outline="0" showAll="0" defaultSubtotal="0">
      <items count="3">
        <item x="2"/>
        <item x="1"/>
        <item x="0"/>
      </items>
    </pivotField>
    <pivotField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compact="0" outline="0" showAll="0" defaultSubtotal="0">
      <items count="3">
        <item x="2"/>
        <item x="1"/>
        <item x="0"/>
      </items>
    </pivotField>
    <pivotField compact="0" outline="0" dragToRow="0" dragToCol="0" dragToPage="0" showAll="0" defaultSubtotal="0"/>
  </pivotFields>
  <rowItems count="1">
    <i/>
  </rowItems>
  <colItems count="1">
    <i/>
  </colItems>
  <dataFields count="1">
    <dataField name="Count of Order ID" fld="1" subtotal="count" baseField="0" baseItem="0"/>
  </dataFields>
  <formats count="6">
    <format dxfId="76">
      <pivotArea field="4" type="button" dataOnly="0" labelOnly="1" outline="0"/>
    </format>
    <format dxfId="77">
      <pivotArea dataOnly="0" labelOnly="1" outline="0" fieldPosition="0"/>
    </format>
    <format dxfId="78">
      <pivotArea outline="0" collapsedLevelsAreSubtotals="1" fieldPosition="0"/>
    </format>
    <format dxfId="79">
      <pivotArea outline="0" collapsedLevelsAreSubtotals="1" fieldPosition="0">
        <references count="1">
          <reference field="4294967294" count="1" selected="0">
            <x v="0"/>
          </reference>
        </references>
      </pivotArea>
    </format>
    <format dxfId="80">
      <pivotArea collapsedLevelsAreSubtotals="1" fieldPosition="0"/>
    </format>
    <format dxfId="81">
      <pivotArea collapsedLevelsAreSubtotals="1" fieldPosition="0"/>
    </format>
  </formats>
  <pivotTableStyleInfo name="PivotStyleLight1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5" cacheId="0" applyNumberFormats="0" applyBorderFormats="0" applyFontFormats="0" applyPatternFormats="0" applyAlignmentFormats="0" applyWidthHeightFormats="1" dataCaption="Values" updatedVersion="8" minRefreshableVersion="3" useAutoFormatting="1" rowGrandTotals="0" colGrandTotals="0" createdVersion="3" indent="0" compact="0" compactData="0" multipleFieldFilters="0">
  <location ref="D6:F8" firstHeaderRow="1" firstDataRow="2" firstDataCol="1"/>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defaultSubtotal="0">
      <items count="7">
        <item x="6"/>
        <item x="3"/>
        <item x="4"/>
        <item x="5"/>
        <item x="0"/>
        <item x="1"/>
        <item x="2"/>
      </items>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compact="0" outline="0" showAll="0" defaultSubtotal="0">
      <items count="3">
        <item x="2"/>
        <item x="1"/>
        <item x="0"/>
      </items>
    </pivotField>
    <pivotField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axis="axisCol" dataField="1" compact="0" outline="0" showAll="0" defaultSubtotal="0">
      <items count="2">
        <item x="0"/>
        <item x="1"/>
      </items>
    </pivotField>
    <pivotField compact="0" outline="0" showAll="0" defaultSubtotal="0">
      <items count="3">
        <item x="2"/>
        <item x="1"/>
        <item x="0"/>
      </items>
    </pivotField>
    <pivotField compact="0" outline="0" dragToRow="0" dragToCol="0" dragToPage="0" showAll="0" defaultSubtotal="0"/>
  </pivotFields>
  <rowItems count="1">
    <i/>
  </rowItems>
  <colFields count="1">
    <field x="18"/>
  </colFields>
  <colItems count="2">
    <i>
      <x/>
    </i>
    <i>
      <x v="1"/>
    </i>
  </colItems>
  <dataFields count="1">
    <dataField name="Count of Payment Method" fld="18" subtotal="count" showDataAs="percentOfTotal" baseField="0" baseItem="0" numFmtId="10"/>
  </dataFields>
  <formats count="3">
    <format dxfId="73">
      <pivotArea field="4" type="button" dataOnly="0" labelOnly="1" outline="0"/>
    </format>
    <format dxfId="74">
      <pivotArea dataOnly="0" labelOnly="1" outline="0" fieldPosition="0"/>
    </format>
    <format dxfId="75">
      <pivotArea outline="0" fieldPosition="0">
        <references count="1">
          <reference field="4294967294" count="1">
            <x v="0"/>
          </reference>
        </references>
      </pivotArea>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62819-D520-41FD-A3CE-DC32238E042F}" name="PivotTable6" cacheId="0" applyNumberFormats="0" applyBorderFormats="0" applyFontFormats="0" applyPatternFormats="0" applyAlignmentFormats="0" applyWidthHeightFormats="1" dataCaption="Values" updatedVersion="8" minRefreshableVersion="3" useAutoFormatting="1" colGrandTotals="0" createdVersion="3" indent="0" compact="0" compactData="0" multipleFieldFilters="0">
  <location ref="E33:G38" firstHeaderRow="1" firstDataRow="2" firstDataCol="1"/>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defaultSubtotal="0">
      <items count="7">
        <item x="6"/>
        <item x="3"/>
        <item x="4"/>
        <item x="5"/>
        <item x="0"/>
        <item x="1"/>
        <item x="2"/>
      </items>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axis="axisRow" compact="0" outline="0" showAll="0" defaultSubtotal="0">
      <items count="3">
        <item x="2"/>
        <item x="1"/>
        <item x="0"/>
      </items>
    </pivotField>
    <pivotField axis="axisCol"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dataField="1"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compact="0" outline="0" showAll="0" defaultSubtotal="0">
      <items count="3">
        <item x="2"/>
        <item x="1"/>
        <item x="0"/>
      </items>
    </pivotField>
    <pivotField compact="0" outline="0" dragToRow="0" dragToCol="0" dragToPage="0" showAll="0" defaultSubtotal="0"/>
  </pivotFields>
  <rowFields count="1">
    <field x="10"/>
  </rowFields>
  <rowItems count="4">
    <i>
      <x/>
    </i>
    <i>
      <x v="1"/>
    </i>
    <i>
      <x v="2"/>
    </i>
    <i t="grand">
      <x/>
    </i>
  </rowItems>
  <colFields count="1">
    <field x="11"/>
  </colFields>
  <colItems count="2">
    <i>
      <x/>
    </i>
    <i>
      <x v="1"/>
    </i>
  </colItems>
  <dataFields count="1">
    <dataField name="Sum of  Total (Before Tax)" fld="15" baseField="0" baseItem="0"/>
  </dataFields>
  <formats count="2">
    <format dxfId="61">
      <pivotArea field="4" type="button" dataOnly="0" labelOnly="1" outline="0"/>
    </format>
    <format dxfId="62">
      <pivotArea dataOnly="0" labelOnly="1" outline="0" fieldPosition="0"/>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8" cacheId="0" applyNumberFormats="0" applyBorderFormats="0" applyFontFormats="0" applyPatternFormats="0" applyAlignmentFormats="0" applyWidthHeightFormats="1" dataCaption="Values" updatedVersion="8" minRefreshableVersion="3" useAutoFormatting="1" rowGrandTotals="0" colGrandTotals="0" createdVersion="3" indent="0" compact="0" compactData="0" multipleFieldFilters="0" chartFormat="3">
  <location ref="A26:C32" firstHeaderRow="1" firstDataRow="1" firstDataCol="2"/>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dataField="1"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defaultSubtotal="0">
      <items count="7">
        <item x="6"/>
        <item x="3"/>
        <item x="4"/>
        <item x="5"/>
        <item x="0"/>
        <item x="1"/>
        <item x="2"/>
      </items>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axis="axisRow" compact="0" outline="0" showAll="0" defaultSubtotal="0">
      <items count="3">
        <item x="2"/>
        <item x="1"/>
        <item x="0"/>
      </items>
    </pivotField>
    <pivotField axis="axisRow"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compact="0" outline="0" showAll="0" defaultSubtotal="0">
      <items count="3">
        <item x="2"/>
        <item x="1"/>
        <item x="0"/>
      </items>
    </pivotField>
    <pivotField compact="0" outline="0" dragToRow="0" dragToCol="0" dragToPage="0" showAll="0" defaultSubtotal="0"/>
  </pivotFields>
  <rowFields count="2">
    <field x="10"/>
    <field x="11"/>
  </rowFields>
  <rowItems count="6">
    <i>
      <x/>
      <x/>
    </i>
    <i r="1">
      <x v="1"/>
    </i>
    <i>
      <x v="1"/>
      <x/>
    </i>
    <i r="1">
      <x v="1"/>
    </i>
    <i>
      <x v="2"/>
      <x/>
    </i>
    <i r="1">
      <x v="1"/>
    </i>
  </rowItems>
  <colItems count="1">
    <i/>
  </colItems>
  <dataFields count="1">
    <dataField name="Count of Order ID" fld="1" subtotal="count" baseField="0" baseItem="0"/>
  </dataFields>
  <formats count="3">
    <format dxfId="67">
      <pivotArea field="4" type="button" dataOnly="0" labelOnly="1" outline="0"/>
    </format>
    <format dxfId="68">
      <pivotArea dataOnly="0" labelOnly="1" outline="0" fieldPosition="0"/>
    </format>
    <format dxfId="69">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0" applyNumberFormats="0" applyBorderFormats="0" applyFontFormats="0" applyPatternFormats="0" applyAlignmentFormats="0" applyWidthHeightFormats="1" dataCaption="Values" updatedVersion="8" minRefreshableVersion="3" useAutoFormatting="1" createdVersion="3" indent="0" compact="0" compactData="0" multipleFieldFilters="0" chartFormat="6">
  <location ref="A13:C22" firstHeaderRow="1" firstDataRow="1" firstDataCol="2"/>
  <pivotFields count="21">
    <pivotField compact="0" outline="0" subtotalTop="0"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compact="0" outline="0" subtotalTop="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ubtotalTop="0" showAll="0"/>
    <pivotField compact="0" outline="0" subtotalTop="0" showAll="0"/>
    <pivotField compact="0" outline="0" subtotalTop="0" showAll="0">
      <items count="8">
        <item x="6"/>
        <item x="3"/>
        <item x="4"/>
        <item x="5"/>
        <item x="0"/>
        <item x="1"/>
        <item x="2"/>
        <item t="default"/>
      </items>
    </pivotField>
    <pivotField compact="0" outline="0" subtotalTop="0" showAll="0"/>
    <pivotField compact="0" outline="0" subtotalTop="0" showAll="0"/>
    <pivotField compact="0" outline="0" subtotalTop="0" showAll="0"/>
    <pivotField compact="0" outline="0" subtotalTop="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numFmtId="167" outline="0" subtotalTop="0" showAll="0"/>
    <pivotField axis="axisRow" compact="0" outline="0" subtotalTop="0" showAll="0">
      <items count="4">
        <item x="2"/>
        <item x="1"/>
        <item x="0"/>
        <item t="default"/>
      </items>
    </pivotField>
    <pivotField axis="axisRow" compact="0" outline="0" subtotalTop="0" multipleItemSelectionAllowed="1" showAll="0">
      <items count="3">
        <item x="1"/>
        <item x="0"/>
        <item t="default"/>
      </items>
    </pivotField>
    <pivotField compact="0" numFmtId="165" outline="0" subtotalTop="0" showAll="0"/>
    <pivotField compact="0" numFmtId="165" outline="0" subtotalTop="0" showAll="0"/>
    <pivotField compact="0" outline="0" subtotalTop="0" showAll="0"/>
    <pivotField dataField="1" compact="0" numFmtId="44" outline="0" subtotalTop="0" showAll="0">
      <items count="33">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 t="default"/>
      </items>
    </pivotField>
    <pivotField compact="0" outline="0" subtotalTop="0" showAll="0"/>
    <pivotField compact="0" numFmtId="165" outline="0" subtotalTop="0" showAll="0">
      <items count="33">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 t="default"/>
      </items>
    </pivotField>
    <pivotField compact="0" outline="0" subtotalTop="0" showAll="0">
      <items count="3">
        <item x="0"/>
        <item x="1"/>
        <item t="default"/>
      </items>
    </pivotField>
    <pivotField compact="0" outline="0" subtotalTop="0" showAll="0">
      <items count="4">
        <item x="2"/>
        <item x="1"/>
        <item x="0"/>
        <item t="default"/>
      </items>
    </pivotField>
    <pivotField compact="0" outline="0" dragToRow="0" dragToCol="0" dragToPage="0" showAll="0" defaultSubtotal="0"/>
  </pivotFields>
  <rowFields count="2">
    <field x="11"/>
    <field x="10"/>
  </rowFields>
  <rowItems count="9">
    <i>
      <x/>
      <x/>
    </i>
    <i r="1">
      <x v="1"/>
    </i>
    <i r="1">
      <x v="2"/>
    </i>
    <i t="default">
      <x/>
    </i>
    <i>
      <x v="1"/>
      <x/>
    </i>
    <i r="1">
      <x v="1"/>
    </i>
    <i r="1">
      <x v="2"/>
    </i>
    <i t="default">
      <x v="1"/>
    </i>
    <i t="grand">
      <x/>
    </i>
  </rowItems>
  <colItems count="1">
    <i/>
  </colItems>
  <dataFields count="1">
    <dataField name="Sum of  Total (Before Tax)" fld="15" baseField="0" baseItem="0" numFmtId="44"/>
  </dataFields>
  <formats count="1">
    <format dxfId="121">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3" format="1">
      <pivotArea type="data" outline="0" fieldPosition="0">
        <references count="3">
          <reference field="4294967294" count="1" selected="0">
            <x v="0"/>
          </reference>
          <reference field="10" count="1" selected="0">
            <x v="1"/>
          </reference>
          <reference field="11" count="1" selected="0">
            <x v="0"/>
          </reference>
        </references>
      </pivotArea>
    </chartFormat>
    <chartFormat chart="3" format="2">
      <pivotArea type="data" outline="0" fieldPosition="0">
        <references count="3">
          <reference field="4294967294" count="1" selected="0">
            <x v="0"/>
          </reference>
          <reference field="10" count="1" selected="0">
            <x v="2"/>
          </reference>
          <reference field="11" count="1" selected="0">
            <x v="0"/>
          </reference>
        </references>
      </pivotArea>
    </chartFormat>
    <chartFormat chart="3" format="3">
      <pivotArea type="data" outline="0" fieldPosition="0">
        <references count="3">
          <reference field="4294967294" count="1" selected="0">
            <x v="0"/>
          </reference>
          <reference field="10" count="1" selected="0">
            <x v="0"/>
          </reference>
          <reference field="11" count="1" selected="0">
            <x v="0"/>
          </reference>
        </references>
      </pivotArea>
    </chartFormat>
    <chartFormat chart="3" format="4">
      <pivotArea type="data" outline="0" fieldPosition="0">
        <references count="3">
          <reference field="4294967294" count="1" selected="0">
            <x v="0"/>
          </reference>
          <reference field="10" count="1" selected="0">
            <x v="0"/>
          </reference>
          <reference field="11" count="1" selected="0">
            <x v="1"/>
          </reference>
        </references>
      </pivotArea>
    </chartFormat>
    <chartFormat chart="3" format="5">
      <pivotArea type="data" outline="0" fieldPosition="0">
        <references count="3">
          <reference field="4294967294" count="1" selected="0">
            <x v="0"/>
          </reference>
          <reference field="10" count="1" selected="0">
            <x v="1"/>
          </reference>
          <reference field="11" count="1" selected="0">
            <x v="1"/>
          </reference>
        </references>
      </pivotArea>
    </chartFormat>
    <chartFormat chart="3" format="6">
      <pivotArea type="data" outline="0" fieldPosition="0">
        <references count="3">
          <reference field="4294967294" count="1" selected="0">
            <x v="0"/>
          </reference>
          <reference field="10" count="1" selected="0">
            <x v="2"/>
          </reference>
          <reference field="11" count="1" selected="0">
            <x v="1"/>
          </reference>
        </references>
      </pivotArea>
    </chartFormat>
  </chart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7" cacheId="0" applyNumberFormats="0" applyBorderFormats="0" applyFontFormats="0" applyPatternFormats="0" applyAlignmentFormats="0" applyWidthHeightFormats="1" dataCaption="Values" updatedVersion="8" minRefreshableVersion="3" useAutoFormatting="1" createdVersion="3" indent="0" compact="0" compactData="0" multipleFieldFilters="0" chartFormat="3">
  <location ref="I13:J17" firstHeaderRow="1" firstDataRow="1" firstDataCol="1"/>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dataField="1"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defaultSubtotal="0">
      <items count="7">
        <item x="6"/>
        <item x="3"/>
        <item x="4"/>
        <item x="5"/>
        <item x="0"/>
        <item x="1"/>
        <item x="2"/>
      </items>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compact="0" outline="0" showAll="0" defaultSubtotal="0">
      <items count="3">
        <item x="2"/>
        <item x="1"/>
        <item x="0"/>
      </items>
    </pivotField>
    <pivotField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axis="axisRow" compact="0" outline="0" showAll="0" defaultSubtotal="0">
      <items count="3">
        <item x="2"/>
        <item x="1"/>
        <item x="0"/>
      </items>
    </pivotField>
    <pivotField compact="0" outline="0" dragToRow="0" dragToCol="0" dragToPage="0" showAll="0" defaultSubtotal="0"/>
  </pivotFields>
  <rowFields count="1">
    <field x="19"/>
  </rowFields>
  <rowItems count="4">
    <i>
      <x/>
    </i>
    <i>
      <x v="1"/>
    </i>
    <i>
      <x v="2"/>
    </i>
    <i t="grand">
      <x/>
    </i>
  </rowItems>
  <colItems count="1">
    <i/>
  </colItems>
  <dataFields count="1">
    <dataField name="Count of Order ID" fld="1" subtotal="count" baseField="0" baseItem="0"/>
  </dataFields>
  <formats count="3">
    <format dxfId="70">
      <pivotArea field="4" type="button" dataOnly="0" labelOnly="1" outline="0"/>
    </format>
    <format dxfId="71">
      <pivotArea dataOnly="0" labelOnly="1" outline="0" fieldPosition="0"/>
    </format>
    <format dxfId="7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9" count="1" selected="0">
            <x v="0"/>
          </reference>
        </references>
      </pivotArea>
    </chartFormat>
    <chartFormat chart="2" format="2">
      <pivotArea type="data" outline="0" fieldPosition="0">
        <references count="2">
          <reference field="4294967294" count="1" selected="0">
            <x v="0"/>
          </reference>
          <reference field="19" count="1" selected="0">
            <x v="1"/>
          </reference>
        </references>
      </pivotArea>
    </chartFormat>
    <chartFormat chart="2" format="3">
      <pivotArea type="data" outline="0" fieldPosition="0">
        <references count="2">
          <reference field="4294967294" count="1" selected="0">
            <x v="0"/>
          </reference>
          <reference field="19" count="1" selected="0">
            <x v="2"/>
          </reference>
        </references>
      </pivotArea>
    </chartFormat>
  </chart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9" cacheId="0" applyNumberFormats="0" applyBorderFormats="0" applyFontFormats="0" applyPatternFormats="0" applyAlignmentFormats="0" applyWidthHeightFormats="1" dataCaption="Values" updatedVersion="8" minRefreshableVersion="3" useAutoFormatting="1" colGrandTotals="0" createdVersion="3" indent="0" compact="0" compactData="0" multipleFieldFilters="0">
  <location ref="E26:G31" firstHeaderRow="1" firstDataRow="2" firstDataCol="1"/>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defaultSubtotal="0">
      <items count="7">
        <item x="6"/>
        <item x="3"/>
        <item x="4"/>
        <item x="5"/>
        <item x="0"/>
        <item x="1"/>
        <item x="2"/>
      </items>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axis="axisRow" compact="0" outline="0" showAll="0" defaultSubtotal="0">
      <items count="3">
        <item x="2"/>
        <item x="1"/>
        <item x="0"/>
      </items>
    </pivotField>
    <pivotField axis="axisCol"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dataField="1"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compact="0" outline="0" showAll="0" defaultSubtotal="0">
      <items count="3">
        <item x="2"/>
        <item x="1"/>
        <item x="0"/>
      </items>
    </pivotField>
    <pivotField compact="0" outline="0" dragToRow="0" dragToCol="0" dragToPage="0" showAll="0" defaultSubtotal="0"/>
  </pivotFields>
  <rowFields count="1">
    <field x="10"/>
  </rowFields>
  <rowItems count="4">
    <i>
      <x/>
    </i>
    <i>
      <x v="1"/>
    </i>
    <i>
      <x v="2"/>
    </i>
    <i t="grand">
      <x/>
    </i>
  </rowItems>
  <colFields count="1">
    <field x="11"/>
  </colFields>
  <colItems count="2">
    <i>
      <x/>
    </i>
    <i>
      <x v="1"/>
    </i>
  </colItems>
  <dataFields count="1">
    <dataField name="Sum of  Total (Before Tax)" fld="15" showDataAs="percentDiff" baseField="11" baseItem="0" numFmtId="10"/>
  </dataFields>
  <formats count="4">
    <format dxfId="63">
      <pivotArea field="4" type="button" dataOnly="0" labelOnly="1" outline="0"/>
    </format>
    <format dxfId="64">
      <pivotArea dataOnly="0" labelOnly="1" outline="0" fieldPosition="0"/>
    </format>
    <format dxfId="65">
      <pivotArea outline="0" collapsedLevelsAreSubtotals="1" fieldPosition="0"/>
    </format>
    <format dxfId="66">
      <pivotArea outline="0" fieldPosition="0">
        <references count="1">
          <reference field="4294967294" count="1">
            <x v="0"/>
          </reference>
        </references>
      </pivotArea>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8" minRefreshableVersion="3" useAutoFormatting="1" rowGrandTotals="0" colGrandTotals="0" createdVersion="3" indent="0" compact="0" compactData="0" multipleFieldFilters="0">
  <location ref="H6:J8" firstHeaderRow="1" firstDataRow="2" firstDataCol="0"/>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defaultSubtotal="0">
      <items count="7">
        <item x="6"/>
        <item x="3"/>
        <item x="4"/>
        <item x="5"/>
        <item x="0"/>
        <item x="1"/>
        <item x="2"/>
      </items>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compact="0" outline="0" showAll="0" defaultSubtotal="0">
      <items count="3">
        <item x="2"/>
        <item x="1"/>
        <item x="0"/>
      </items>
    </pivotField>
    <pivotField compact="0" outline="0" showAll="0" defaultSubtotal="0">
      <items count="2">
        <item x="1"/>
        <item x="0"/>
      </items>
    </pivotField>
    <pivotField dataField="1" compact="0" numFmtId="165" outline="0" showAll="0" defaultSubtotal="0"/>
    <pivotField dataField="1" compact="0" numFmtId="165" outline="0" showAll="0" defaultSubtotal="0"/>
    <pivotField compact="0" outline="0" showAll="0" defaultSubtotal="0"/>
    <pivotField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compact="0" outline="0" showAll="0" defaultSubtotal="0">
      <items count="3">
        <item x="2"/>
        <item x="1"/>
        <item x="0"/>
      </items>
    </pivotField>
    <pivotField dataField="1" compact="0" outline="0" dragToRow="0" dragToCol="0" dragToPage="0" showAll="0" defaultSubtotal="0"/>
  </pivotFields>
  <rowItems count="1">
    <i/>
  </rowItems>
  <colFields count="1">
    <field x="-2"/>
  </colFields>
  <colItems count="3">
    <i>
      <x/>
    </i>
    <i i="1">
      <x v="1"/>
    </i>
    <i i="2">
      <x v="2"/>
    </i>
  </colItems>
  <dataFields count="3">
    <dataField name="Wholesale Price (sum)" fld="12" baseField="0" baseItem="0" numFmtId="168"/>
    <dataField name="Retail Price (Sum)" fld="13" baseField="0" baseItem="0" numFmtId="168"/>
    <dataField name="Sum of Profit" fld="20" baseField="0" baseItem="0" numFmtId="168"/>
  </dataFields>
  <formats count="5">
    <format dxfId="116">
      <pivotArea field="4" type="button" dataOnly="0" labelOnly="1" outline="0"/>
    </format>
    <format dxfId="117">
      <pivotArea dataOnly="0" labelOnly="1" outline="0" fieldPosition="0"/>
    </format>
    <format dxfId="118">
      <pivotArea outline="0" fieldPosition="0">
        <references count="1">
          <reference field="4294967294" count="1" selected="0">
            <x v="2"/>
          </reference>
        </references>
      </pivotArea>
    </format>
    <format dxfId="119">
      <pivotArea outline="0" fieldPosition="0">
        <references count="1">
          <reference field="4294967294" count="1" selected="0">
            <x v="1"/>
          </reference>
        </references>
      </pivotArea>
    </format>
    <format dxfId="120">
      <pivotArea outline="0" fieldPosition="0">
        <references count="1">
          <reference field="4294967294" count="1" selected="0">
            <x v="0"/>
          </reference>
        </references>
      </pivotArea>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8" minRefreshableVersion="3" useAutoFormatting="1" createdVersion="3" indent="0" compact="0" compactData="0" multipleFieldFilters="0">
  <location ref="F13:G21" firstHeaderRow="1" firstDataRow="1" firstDataCol="1"/>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axis="axisRow" compact="0" outline="0" showAll="0" sortType="descending" defaultSubtotal="0">
      <items count="7">
        <item x="6"/>
        <item x="3"/>
        <item x="4"/>
        <item x="5"/>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numFmtId="167" outline="0" showAll="0" defaultSubtotal="0"/>
    <pivotField compact="0" outline="0" showAll="0" defaultSubtotal="0">
      <items count="3">
        <item x="2"/>
        <item x="1"/>
        <item x="0"/>
      </items>
    </pivotField>
    <pivotField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dataField="1"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compact="0" outline="0" showAll="0" defaultSubtotal="0">
      <items count="3">
        <item x="2"/>
        <item x="1"/>
        <item x="0"/>
      </items>
    </pivotField>
    <pivotField compact="0" outline="0" dragToRow="0" dragToCol="0" dragToPage="0" showAll="0" defaultSubtotal="0"/>
  </pivotFields>
  <rowFields count="1">
    <field x="4"/>
  </rowFields>
  <rowItems count="8">
    <i>
      <x v="4"/>
    </i>
    <i>
      <x v="5"/>
    </i>
    <i>
      <x v="6"/>
    </i>
    <i>
      <x v="1"/>
    </i>
    <i>
      <x v="2"/>
    </i>
    <i>
      <x/>
    </i>
    <i>
      <x v="3"/>
    </i>
    <i t="grand">
      <x/>
    </i>
  </rowItems>
  <colItems count="1">
    <i/>
  </colItems>
  <dataFields count="1">
    <dataField name="Sum of  Total (Before Tax)" fld="15" baseField="0" baseItem="0" numFmtId="44"/>
  </dataFields>
  <formats count="4">
    <format dxfId="112">
      <pivotArea outline="0" collapsedLevelsAreSubtotals="1" fieldPosition="0">
        <references count="1">
          <reference field="4" count="4" selected="0">
            <x v="1"/>
            <x v="4"/>
            <x v="5"/>
            <x v="6"/>
          </reference>
        </references>
      </pivotArea>
    </format>
    <format dxfId="113">
      <pivotArea field="4" type="button" dataOnly="0" labelOnly="1" outline="0" axis="axisRow" fieldPosition="0"/>
    </format>
    <format dxfId="114">
      <pivotArea dataOnly="0" labelOnly="1" outline="0" fieldPosition="0"/>
    </format>
    <format dxfId="115">
      <pivotArea dataOnly="0" labelOnly="1" outline="0" fieldPosition="0">
        <references count="1">
          <reference field="4" count="4">
            <x v="1"/>
            <x v="4"/>
            <x v="5"/>
            <x v="6"/>
          </reference>
        </references>
      </pivotArea>
    </format>
  </formats>
  <pivotTableStyleInfo name="PivotStyleLight1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8" minRefreshableVersion="3" useAutoFormatting="1" createdVersion="3" indent="0" compact="0" compactData="0" multipleFieldFilters="0">
  <location ref="I26:J37" firstHeaderRow="1" firstDataRow="1" firstDataCol="1"/>
  <pivotFields count="21">
    <pivotField compact="0" outline="0" showAll="0" defaultSubtotal="0">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pivotField>
    <pivotField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howAll="0" defaultSubtotal="0"/>
    <pivotField compact="0" outline="0" showAll="0" defaultSubtotal="0"/>
    <pivotField compact="0" outline="0" showAll="0" sortType="descending" defaultSubtotal="0">
      <items count="7">
        <item x="6"/>
        <item x="3"/>
        <item x="4"/>
        <item x="5"/>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pivotField>
    <pivotField compact="0" numFmtId="167" outline="0" showAll="0" defaultSubtotal="0"/>
    <pivotField compact="0" outline="0" showAll="0" defaultSubtotal="0">
      <items count="3">
        <item x="2"/>
        <item x="1"/>
        <item x="0"/>
      </items>
    </pivotField>
    <pivotField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dataField="1" compact="0" numFmtId="44"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pivotField compact="0" numFmtId="165" outline="0" showAll="0" defaultSubtotal="0">
      <items count="32">
        <item x="27"/>
        <item x="26"/>
        <item x="29"/>
        <item x="28"/>
        <item x="9"/>
        <item x="1"/>
        <item x="5"/>
        <item x="13"/>
        <item x="11"/>
        <item x="3"/>
        <item x="8"/>
        <item x="17"/>
        <item x="0"/>
        <item x="7"/>
        <item x="4"/>
        <item x="12"/>
        <item x="23"/>
        <item x="25"/>
        <item x="19"/>
        <item x="30"/>
        <item x="21"/>
        <item x="16"/>
        <item x="31"/>
        <item x="6"/>
        <item x="14"/>
        <item x="10"/>
        <item x="2"/>
        <item x="15"/>
        <item x="24"/>
        <item x="18"/>
        <item x="20"/>
        <item x="22"/>
      </items>
    </pivotField>
    <pivotField compact="0" outline="0" showAll="0" defaultSubtotal="0">
      <items count="2">
        <item x="0"/>
        <item x="1"/>
      </items>
    </pivotField>
    <pivotField compact="0" outline="0" showAll="0" defaultSubtotal="0">
      <items count="3">
        <item x="2"/>
        <item x="1"/>
        <item x="0"/>
      </items>
    </pivotField>
    <pivotField compact="0" outline="0" dragToRow="0" dragToCol="0" dragToPage="0" showAll="0" defaultSubtotal="0"/>
  </pivotFields>
  <rowFields count="1">
    <field x="8"/>
  </rowFields>
  <rowItems count="11">
    <i>
      <x v="34"/>
    </i>
    <i>
      <x v="30"/>
    </i>
    <i>
      <x v="22"/>
    </i>
    <i>
      <x v="38"/>
    </i>
    <i>
      <x v="18"/>
    </i>
    <i>
      <x v="2"/>
    </i>
    <i>
      <x v="26"/>
    </i>
    <i>
      <x v="10"/>
    </i>
    <i>
      <x v="14"/>
    </i>
    <i>
      <x v="6"/>
    </i>
    <i t="grand">
      <x/>
    </i>
  </rowItems>
  <colItems count="1">
    <i/>
  </colItems>
  <dataFields count="1">
    <dataField name="Average of  Total (Before Tax)" fld="15" subtotal="average" baseField="0" baseItem="0"/>
  </dataFields>
  <formats count="30">
    <format dxfId="82">
      <pivotArea outline="0" collapsedLevelsAreSubtotals="1" fieldPosition="0"/>
    </format>
    <format dxfId="83">
      <pivotArea collapsedLevelsAreSubtotals="1" fieldPosition="0"/>
    </format>
    <format dxfId="84">
      <pivotArea grandRow="1" collapsedLevelsAreSubtotals="1" fieldPosition="0"/>
    </format>
    <format dxfId="85">
      <pivotArea collapsedLevelsAreSubtotals="1" fieldPosition="0"/>
    </format>
    <format dxfId="86">
      <pivotArea grandRow="1" collapsedLevelsAreSubtotals="1" fieldPosition="0"/>
    </format>
    <format dxfId="87">
      <pivotArea collapsedLevelsAreSubtotals="1" fieldPosition="0">
        <references count="1">
          <reference field="8" count="1" selected="0">
            <x v="34"/>
          </reference>
        </references>
      </pivotArea>
    </format>
    <format dxfId="88">
      <pivotArea collapsedLevelsAreSubtotals="1" fieldPosition="0">
        <references count="1">
          <reference field="8" count="1" selected="0">
            <x v="34"/>
          </reference>
        </references>
      </pivotArea>
    </format>
    <format dxfId="89">
      <pivotArea collapsedLevelsAreSubtotals="1" fieldPosition="0">
        <references count="1">
          <reference field="8" count="1" selected="0">
            <x v="34"/>
          </reference>
        </references>
      </pivotArea>
    </format>
    <format dxfId="90">
      <pivotArea collapsedLevelsAreSubtotals="1" fieldPosition="0">
        <references count="1">
          <reference field="8" count="1" selected="0">
            <x v="30"/>
          </reference>
        </references>
      </pivotArea>
    </format>
    <format dxfId="91">
      <pivotArea collapsedLevelsAreSubtotals="1" fieldPosition="0">
        <references count="1">
          <reference field="8" count="1" selected="0">
            <x v="22"/>
          </reference>
        </references>
      </pivotArea>
    </format>
    <format dxfId="92">
      <pivotArea collapsedLevelsAreSubtotals="1" fieldPosition="0">
        <references count="1">
          <reference field="8" count="1" selected="0">
            <x v="38"/>
          </reference>
        </references>
      </pivotArea>
    </format>
    <format dxfId="93">
      <pivotArea collapsedLevelsAreSubtotals="1" fieldPosition="0">
        <references count="1">
          <reference field="8" count="1" selected="0">
            <x v="18"/>
          </reference>
        </references>
      </pivotArea>
    </format>
    <format dxfId="94">
      <pivotArea collapsedLevelsAreSubtotals="1" fieldPosition="0">
        <references count="1">
          <reference field="8" count="1" selected="0">
            <x v="2"/>
          </reference>
        </references>
      </pivotArea>
    </format>
    <format dxfId="95">
      <pivotArea collapsedLevelsAreSubtotals="1" fieldPosition="0">
        <references count="1">
          <reference field="8" count="1" selected="0">
            <x v="26"/>
          </reference>
        </references>
      </pivotArea>
    </format>
    <format dxfId="96">
      <pivotArea collapsedLevelsAreSubtotals="1" fieldPosition="0">
        <references count="1">
          <reference field="8" count="1" selected="0">
            <x v="10"/>
          </reference>
        </references>
      </pivotArea>
    </format>
    <format dxfId="97">
      <pivotArea collapsedLevelsAreSubtotals="1" fieldPosition="0">
        <references count="1">
          <reference field="8" count="1" selected="0">
            <x v="14"/>
          </reference>
        </references>
      </pivotArea>
    </format>
    <format dxfId="98">
      <pivotArea collapsedLevelsAreSubtotals="1" fieldPosition="0">
        <references count="1">
          <reference field="8" count="1" selected="0">
            <x v="6"/>
          </reference>
        </references>
      </pivotArea>
    </format>
    <format dxfId="99">
      <pivotArea collapsedLevelsAreSubtotals="1" fieldPosition="0">
        <references count="1">
          <reference field="8" count="1" selected="0">
            <x v="34"/>
          </reference>
        </references>
      </pivotArea>
    </format>
    <format dxfId="100">
      <pivotArea collapsedLevelsAreSubtotals="1" fieldPosition="0">
        <references count="1">
          <reference field="8" count="1" selected="0">
            <x v="30"/>
          </reference>
        </references>
      </pivotArea>
    </format>
    <format dxfId="101">
      <pivotArea collapsedLevelsAreSubtotals="1" fieldPosition="0">
        <references count="1">
          <reference field="8" count="1" selected="0">
            <x v="22"/>
          </reference>
        </references>
      </pivotArea>
    </format>
    <format dxfId="102">
      <pivotArea collapsedLevelsAreSubtotals="1" fieldPosition="0">
        <references count="1">
          <reference field="8" count="1" selected="0">
            <x v="38"/>
          </reference>
        </references>
      </pivotArea>
    </format>
    <format dxfId="103">
      <pivotArea collapsedLevelsAreSubtotals="1" fieldPosition="0">
        <references count="1">
          <reference field="8" count="1" selected="0">
            <x v="18"/>
          </reference>
        </references>
      </pivotArea>
    </format>
    <format dxfId="104">
      <pivotArea collapsedLevelsAreSubtotals="1" fieldPosition="0">
        <references count="1">
          <reference field="8" count="1" selected="0">
            <x v="2"/>
          </reference>
        </references>
      </pivotArea>
    </format>
    <format dxfId="105">
      <pivotArea collapsedLevelsAreSubtotals="1" fieldPosition="0">
        <references count="1">
          <reference field="8" count="1" selected="0">
            <x v="26"/>
          </reference>
        </references>
      </pivotArea>
    </format>
    <format dxfId="106">
      <pivotArea collapsedLevelsAreSubtotals="1" fieldPosition="0">
        <references count="1">
          <reference field="8" count="1" selected="0">
            <x v="10"/>
          </reference>
        </references>
      </pivotArea>
    </format>
    <format dxfId="107">
      <pivotArea collapsedLevelsAreSubtotals="1" fieldPosition="0">
        <references count="1">
          <reference field="8" count="1" selected="0">
            <x v="14"/>
          </reference>
        </references>
      </pivotArea>
    </format>
    <format dxfId="108">
      <pivotArea collapsedLevelsAreSubtotals="1" fieldPosition="0">
        <references count="1">
          <reference field="8" count="1" selected="0">
            <x v="6"/>
          </reference>
        </references>
      </pivotArea>
    </format>
    <format dxfId="109">
      <pivotArea grandRow="1" collapsedLevelsAreSubtotals="1" fieldPosition="0"/>
    </format>
    <format dxfId="110">
      <pivotArea grandRow="1" collapsedLevelsAreSubtotals="1" fieldPosition="0"/>
    </format>
    <format dxfId="111">
      <pivotArea grandRow="1" collapsedLevelsAreSubtotals="1" fieldPosition="0"/>
    </format>
  </formats>
  <pivotTableStyleInfo name="PivotStyleLight17" showRowHeaders="1" showColHeaders="1" showRowStripes="0" showColStripes="0" showLastColumn="1"/>
  <filters count="1">
    <filter fld="8" type="count" evalOrder="-1" id="2"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1"/>
    <pivotTable tabId="4" name="PivotTable10"/>
    <pivotTable tabId="4" name="PivotTable2"/>
    <pivotTable tabId="4" name="PivotTable3"/>
    <pivotTable tabId="4" name="PivotTable4"/>
    <pivotTable tabId="4" name="PivotTable5"/>
    <pivotTable tabId="4" name="PivotTable7"/>
    <pivotTable tabId="4" name="PivotTable8"/>
    <pivotTable tabId="4" name="PivotTable9"/>
    <pivotTable tabId="4" name="PivotTable6"/>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247" totalsRowShown="0">
  <tableColumns count="20">
    <tableColumn id="1" xr3:uid="{00000000-0010-0000-0000-000001000000}" name="Product ID"/>
    <tableColumn id="2" xr3:uid="{00000000-0010-0000-0000-000002000000}" name="Order ID"/>
    <tableColumn id="3" xr3:uid="{00000000-0010-0000-0000-000003000000}" name="Product Name"/>
    <tableColumn id="4" xr3:uid="{00000000-0010-0000-0000-000004000000}" name="Product Description"/>
    <tableColumn id="5" xr3:uid="{00000000-0010-0000-0000-000005000000}" name="Product Category"/>
    <tableColumn id="6" xr3:uid="{00000000-0010-0000-0000-000006000000}" name="Product Subcategory"/>
    <tableColumn id="7" xr3:uid="{00000000-0010-0000-0000-000007000000}" name="Product Size"/>
    <tableColumn id="8" xr3:uid="{00000000-0010-0000-0000-000008000000}" name="Product Weight"/>
    <tableColumn id="9" xr3:uid="{00000000-0010-0000-0000-000009000000}" name="Customer ID"/>
    <tableColumn id="10" xr3:uid="{00000000-0010-0000-0000-00000A000000}" name="Order Date" dataDxfId="1531"/>
    <tableColumn id="11" xr3:uid="{00000000-0010-0000-0000-00000B000000}" name="Month" dataDxfId="1530">
      <calculatedColumnFormula>TEXT(J2,"mmm")</calculatedColumnFormula>
    </tableColumn>
    <tableColumn id="12" xr3:uid="{00000000-0010-0000-0000-00000C000000}" name="Year">
      <calculatedColumnFormula>YEAR(J2)</calculatedColumnFormula>
    </tableColumn>
    <tableColumn id="13" xr3:uid="{00000000-0010-0000-0000-00000D000000}" name="Wholesale Price" dataDxfId="1529"/>
    <tableColumn id="14" xr3:uid="{00000000-0010-0000-0000-00000E000000}" name="Retail Price" dataDxfId="1528"/>
    <tableColumn id="15" xr3:uid="{00000000-0010-0000-0000-00000F000000}" name="Order Quantity"/>
    <tableColumn id="16" xr3:uid="{00000000-0010-0000-0000-000010000000}" name=" Total (Before Tax)" dataDxfId="1527">
      <calculatedColumnFormula>N2*O2</calculatedColumnFormula>
    </tableColumn>
    <tableColumn id="17" xr3:uid="{00000000-0010-0000-0000-000011000000}" name="Tax Due" dataDxfId="1526"/>
    <tableColumn id="18" xr3:uid="{00000000-0010-0000-0000-000012000000}" name="Order Total" dataDxfId="1525">
      <calculatedColumnFormula>P2+Q2</calculatedColumnFormula>
    </tableColumn>
    <tableColumn id="19" xr3:uid="{00000000-0010-0000-0000-000013000000}" name="Payment Method"/>
    <tableColumn id="20" xr3:uid="{00000000-0010-0000-0000-000014000000}" name="Order Status"/>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46"/>
  <sheetViews>
    <sheetView topLeftCell="L1" workbookViewId="0">
      <selection activeCell="A16" sqref="A16"/>
    </sheetView>
  </sheetViews>
  <sheetFormatPr defaultColWidth="9" defaultRowHeight="15"/>
  <cols>
    <col min="1" max="1" width="5.140625" customWidth="1"/>
    <col min="4" max="4" width="9.140625" customWidth="1"/>
    <col min="5" max="5" width="10.140625" customWidth="1"/>
    <col min="6" max="6" width="17.85546875" customWidth="1"/>
    <col min="7" max="7" width="15.7109375" customWidth="1"/>
    <col min="8" max="8" width="17.140625" customWidth="1"/>
    <col min="9" max="9" width="23.28515625" customWidth="1"/>
    <col min="10" max="13" width="10.7109375" customWidth="1"/>
    <col min="14" max="14" width="9.28515625" customWidth="1"/>
    <col min="15" max="15" width="13.28515625" customWidth="1"/>
    <col min="16" max="16" width="12.85546875" customWidth="1"/>
    <col min="17" max="18" width="11" customWidth="1"/>
    <col min="19" max="19" width="13.42578125" customWidth="1"/>
    <col min="20" max="20" width="12.42578125" customWidth="1"/>
    <col min="21" max="21" width="8.42578125" customWidth="1"/>
    <col min="22" max="22" width="10.42578125" customWidth="1"/>
    <col min="23" max="23" width="39.7109375" customWidth="1"/>
    <col min="25" max="25" width="10.5703125" customWidth="1"/>
  </cols>
  <sheetData>
    <row r="1" spans="1:25" ht="31.5" customHeight="1">
      <c r="E1" s="26" t="s">
        <v>0</v>
      </c>
      <c r="G1" s="27" t="s">
        <v>1</v>
      </c>
      <c r="H1" s="27" t="s">
        <v>2</v>
      </c>
      <c r="I1" s="27" t="s">
        <v>3</v>
      </c>
      <c r="J1" s="27" t="s">
        <v>4</v>
      </c>
      <c r="K1" s="27" t="s">
        <v>5</v>
      </c>
      <c r="L1" s="27" t="s">
        <v>6</v>
      </c>
      <c r="M1" s="27" t="s">
        <v>7</v>
      </c>
      <c r="N1" s="27" t="s">
        <v>8</v>
      </c>
      <c r="O1" s="27" t="s">
        <v>9</v>
      </c>
      <c r="P1" s="27" t="s">
        <v>10</v>
      </c>
      <c r="Q1" s="27" t="s">
        <v>11</v>
      </c>
      <c r="R1" s="27" t="s">
        <v>12</v>
      </c>
      <c r="S1" s="26" t="s">
        <v>13</v>
      </c>
      <c r="T1" s="26" t="s">
        <v>14</v>
      </c>
      <c r="U1" s="26" t="s">
        <v>15</v>
      </c>
      <c r="V1" s="26" t="s">
        <v>16</v>
      </c>
      <c r="W1" s="26" t="s">
        <v>17</v>
      </c>
      <c r="X1" s="26" t="s">
        <v>18</v>
      </c>
      <c r="Y1" s="26" t="s">
        <v>19</v>
      </c>
    </row>
    <row r="2" spans="1:25">
      <c r="E2">
        <v>1001</v>
      </c>
      <c r="F2" t="s">
        <v>20</v>
      </c>
      <c r="H2" t="s">
        <v>21</v>
      </c>
      <c r="I2" t="s">
        <v>22</v>
      </c>
      <c r="J2" s="21">
        <v>44986</v>
      </c>
      <c r="M2" s="23">
        <v>840</v>
      </c>
      <c r="N2" s="23">
        <v>1200</v>
      </c>
      <c r="O2">
        <v>2</v>
      </c>
      <c r="P2" s="23"/>
      <c r="Q2" s="23"/>
      <c r="R2" s="23">
        <f>P2+Q2</f>
        <v>0</v>
      </c>
      <c r="S2" t="s">
        <v>23</v>
      </c>
      <c r="T2" t="s">
        <v>24</v>
      </c>
      <c r="U2">
        <v>2001</v>
      </c>
      <c r="V2">
        <v>3001</v>
      </c>
      <c r="W2" t="s">
        <v>25</v>
      </c>
      <c r="X2" t="s">
        <v>26</v>
      </c>
      <c r="Y2">
        <v>25</v>
      </c>
    </row>
    <row r="3" spans="1:25">
      <c r="E3">
        <v>1002</v>
      </c>
      <c r="F3" t="s">
        <v>20</v>
      </c>
      <c r="H3" t="s">
        <v>21</v>
      </c>
      <c r="I3" t="s">
        <v>27</v>
      </c>
      <c r="J3" s="21">
        <v>44987</v>
      </c>
      <c r="M3" s="23">
        <v>1050</v>
      </c>
      <c r="N3" s="23">
        <v>1500</v>
      </c>
      <c r="O3">
        <v>1</v>
      </c>
      <c r="P3" s="23"/>
      <c r="Q3" s="23"/>
      <c r="R3" s="23">
        <f t="shared" ref="R3:R66" si="0">P3+Q3</f>
        <v>0</v>
      </c>
      <c r="S3" t="s">
        <v>28</v>
      </c>
      <c r="T3" t="s">
        <v>29</v>
      </c>
      <c r="U3">
        <v>2002</v>
      </c>
      <c r="V3">
        <v>3002</v>
      </c>
      <c r="W3" t="s">
        <v>30</v>
      </c>
      <c r="X3" t="s">
        <v>31</v>
      </c>
      <c r="Y3">
        <v>22</v>
      </c>
    </row>
    <row r="4" spans="1:25">
      <c r="E4">
        <v>1003</v>
      </c>
      <c r="F4" t="s">
        <v>32</v>
      </c>
      <c r="H4" t="s">
        <v>33</v>
      </c>
      <c r="I4" t="s">
        <v>34</v>
      </c>
      <c r="J4" s="21">
        <v>44988</v>
      </c>
      <c r="M4" s="23">
        <v>1260</v>
      </c>
      <c r="N4" s="23">
        <v>1800</v>
      </c>
      <c r="O4">
        <v>3</v>
      </c>
      <c r="P4" s="23"/>
      <c r="Q4" s="23"/>
      <c r="R4" s="23">
        <f t="shared" si="0"/>
        <v>0</v>
      </c>
      <c r="S4" t="s">
        <v>23</v>
      </c>
      <c r="T4" t="s">
        <v>35</v>
      </c>
      <c r="U4">
        <v>2003</v>
      </c>
      <c r="V4">
        <v>3003</v>
      </c>
      <c r="W4" t="s">
        <v>36</v>
      </c>
      <c r="X4" t="s">
        <v>26</v>
      </c>
      <c r="Y4">
        <v>18</v>
      </c>
    </row>
    <row r="5" spans="1:25">
      <c r="B5" s="18">
        <v>2022</v>
      </c>
      <c r="C5" s="18">
        <v>2023</v>
      </c>
      <c r="D5" t="s">
        <v>37</v>
      </c>
      <c r="E5">
        <v>1004</v>
      </c>
      <c r="F5" t="s">
        <v>32</v>
      </c>
      <c r="H5" t="s">
        <v>33</v>
      </c>
      <c r="I5" t="s">
        <v>38</v>
      </c>
      <c r="J5" s="21">
        <v>44989</v>
      </c>
      <c r="M5" s="23">
        <v>1470</v>
      </c>
      <c r="N5" s="23">
        <v>2100</v>
      </c>
      <c r="O5">
        <v>1</v>
      </c>
      <c r="P5" s="23"/>
      <c r="Q5" s="23"/>
      <c r="R5" s="23">
        <f t="shared" si="0"/>
        <v>0</v>
      </c>
      <c r="S5" t="s">
        <v>23</v>
      </c>
      <c r="T5" t="s">
        <v>24</v>
      </c>
      <c r="U5">
        <v>2004</v>
      </c>
      <c r="V5">
        <v>3004</v>
      </c>
      <c r="W5" t="s">
        <v>39</v>
      </c>
      <c r="X5" t="s">
        <v>31</v>
      </c>
      <c r="Y5">
        <v>16</v>
      </c>
    </row>
    <row r="6" spans="1:25">
      <c r="B6" s="19"/>
      <c r="C6" s="19"/>
      <c r="D6" s="20"/>
      <c r="E6">
        <v>1005</v>
      </c>
      <c r="F6" t="s">
        <v>40</v>
      </c>
      <c r="H6" t="s">
        <v>41</v>
      </c>
      <c r="I6" t="s">
        <v>42</v>
      </c>
      <c r="J6" s="21">
        <v>44990</v>
      </c>
      <c r="M6" s="23">
        <v>897</v>
      </c>
      <c r="N6" s="23">
        <v>1300</v>
      </c>
      <c r="O6">
        <v>2</v>
      </c>
      <c r="P6" s="23"/>
      <c r="Q6" s="23"/>
      <c r="R6" s="23">
        <f t="shared" si="0"/>
        <v>0</v>
      </c>
      <c r="S6" t="s">
        <v>28</v>
      </c>
      <c r="T6" t="s">
        <v>29</v>
      </c>
      <c r="U6">
        <v>2005</v>
      </c>
      <c r="V6">
        <v>3005</v>
      </c>
      <c r="W6" t="s">
        <v>43</v>
      </c>
      <c r="X6" t="s">
        <v>26</v>
      </c>
      <c r="Y6">
        <v>27</v>
      </c>
    </row>
    <row r="7" spans="1:25">
      <c r="B7" s="19"/>
      <c r="C7" s="19"/>
      <c r="D7" s="20"/>
      <c r="E7">
        <v>1006</v>
      </c>
      <c r="F7" t="s">
        <v>40</v>
      </c>
      <c r="H7" t="s">
        <v>41</v>
      </c>
      <c r="I7" t="s">
        <v>44</v>
      </c>
      <c r="J7" s="21">
        <v>44991</v>
      </c>
      <c r="M7" s="23">
        <v>1104</v>
      </c>
      <c r="N7" s="23">
        <v>1600</v>
      </c>
      <c r="O7">
        <v>1</v>
      </c>
      <c r="P7" s="23"/>
      <c r="Q7" s="23"/>
      <c r="R7" s="23">
        <f t="shared" si="0"/>
        <v>0</v>
      </c>
      <c r="S7" t="s">
        <v>23</v>
      </c>
      <c r="T7" t="s">
        <v>24</v>
      </c>
      <c r="U7">
        <v>2006</v>
      </c>
      <c r="V7">
        <v>3006</v>
      </c>
      <c r="W7" t="s">
        <v>45</v>
      </c>
      <c r="X7" t="s">
        <v>31</v>
      </c>
      <c r="Y7">
        <v>24</v>
      </c>
    </row>
    <row r="8" spans="1:25">
      <c r="B8" s="19"/>
      <c r="C8" s="19"/>
      <c r="D8" s="20"/>
      <c r="E8">
        <v>1007</v>
      </c>
      <c r="F8" t="s">
        <v>20</v>
      </c>
      <c r="H8" t="s">
        <v>46</v>
      </c>
      <c r="I8" t="s">
        <v>47</v>
      </c>
      <c r="J8" s="21">
        <v>44992</v>
      </c>
      <c r="M8" s="23">
        <v>1496</v>
      </c>
      <c r="N8" s="23">
        <v>2200</v>
      </c>
      <c r="O8">
        <v>2</v>
      </c>
      <c r="P8" s="23"/>
      <c r="Q8" s="23"/>
      <c r="R8" s="23">
        <f t="shared" si="0"/>
        <v>0</v>
      </c>
      <c r="S8" t="s">
        <v>28</v>
      </c>
      <c r="T8" t="s">
        <v>24</v>
      </c>
      <c r="U8">
        <v>2007</v>
      </c>
      <c r="V8">
        <v>3007</v>
      </c>
      <c r="W8" t="s">
        <v>48</v>
      </c>
      <c r="X8" t="s">
        <v>26</v>
      </c>
      <c r="Y8">
        <v>29</v>
      </c>
    </row>
    <row r="9" spans="1:25">
      <c r="D9" s="10"/>
      <c r="E9">
        <v>1008</v>
      </c>
      <c r="F9" t="s">
        <v>20</v>
      </c>
      <c r="H9" t="s">
        <v>46</v>
      </c>
      <c r="I9" t="s">
        <v>49</v>
      </c>
      <c r="J9" s="21">
        <v>44993</v>
      </c>
      <c r="M9" s="23">
        <v>1700</v>
      </c>
      <c r="N9" s="23">
        <v>2500</v>
      </c>
      <c r="O9">
        <v>1</v>
      </c>
      <c r="P9" s="23"/>
      <c r="Q9" s="23"/>
      <c r="R9" s="23">
        <f t="shared" si="0"/>
        <v>0</v>
      </c>
      <c r="S9" t="s">
        <v>23</v>
      </c>
      <c r="T9" t="s">
        <v>29</v>
      </c>
      <c r="U9">
        <v>2008</v>
      </c>
      <c r="V9">
        <v>3008</v>
      </c>
      <c r="W9" t="s">
        <v>50</v>
      </c>
      <c r="X9" t="s">
        <v>31</v>
      </c>
      <c r="Y9">
        <v>27</v>
      </c>
    </row>
    <row r="10" spans="1:25">
      <c r="E10">
        <v>1009</v>
      </c>
      <c r="F10" t="s">
        <v>20</v>
      </c>
      <c r="H10" t="s">
        <v>51</v>
      </c>
      <c r="I10" t="s">
        <v>52</v>
      </c>
      <c r="J10" s="21">
        <v>45006</v>
      </c>
      <c r="M10" s="23">
        <v>737</v>
      </c>
      <c r="N10" s="23">
        <v>1100</v>
      </c>
      <c r="O10">
        <v>2</v>
      </c>
      <c r="P10" s="23"/>
      <c r="Q10" s="23"/>
      <c r="R10" s="23">
        <f t="shared" si="0"/>
        <v>0</v>
      </c>
      <c r="S10" t="s">
        <v>23</v>
      </c>
      <c r="T10" t="s">
        <v>24</v>
      </c>
      <c r="U10">
        <v>2021</v>
      </c>
      <c r="V10">
        <v>3021</v>
      </c>
      <c r="W10" t="s">
        <v>53</v>
      </c>
      <c r="X10" t="s">
        <v>26</v>
      </c>
      <c r="Y10">
        <v>24</v>
      </c>
    </row>
    <row r="11" spans="1:25">
      <c r="B11" s="18">
        <v>2022</v>
      </c>
      <c r="C11" s="18">
        <v>2023</v>
      </c>
      <c r="D11" s="18" t="s">
        <v>37</v>
      </c>
      <c r="E11">
        <v>1010</v>
      </c>
      <c r="F11" t="s">
        <v>20</v>
      </c>
      <c r="H11" t="s">
        <v>51</v>
      </c>
      <c r="I11" t="s">
        <v>54</v>
      </c>
      <c r="J11" s="21">
        <v>45007</v>
      </c>
      <c r="M11" s="23">
        <v>938</v>
      </c>
      <c r="N11" s="23">
        <v>1400</v>
      </c>
      <c r="O11">
        <v>1</v>
      </c>
      <c r="P11" s="23"/>
      <c r="Q11" s="23"/>
      <c r="R11" s="23">
        <f t="shared" si="0"/>
        <v>0</v>
      </c>
      <c r="S11" t="s">
        <v>28</v>
      </c>
      <c r="T11" t="s">
        <v>29</v>
      </c>
      <c r="U11">
        <v>2022</v>
      </c>
      <c r="V11">
        <v>3022</v>
      </c>
      <c r="W11" t="s">
        <v>55</v>
      </c>
      <c r="X11" t="s">
        <v>31</v>
      </c>
      <c r="Y11">
        <v>21</v>
      </c>
    </row>
    <row r="12" spans="1:25">
      <c r="A12" t="s">
        <v>56</v>
      </c>
      <c r="B12" s="19"/>
      <c r="C12" s="19"/>
      <c r="D12" s="10"/>
      <c r="E12">
        <v>1011</v>
      </c>
      <c r="F12" t="s">
        <v>32</v>
      </c>
      <c r="H12" t="s">
        <v>57</v>
      </c>
      <c r="I12" t="s">
        <v>58</v>
      </c>
      <c r="J12" s="21">
        <v>45008</v>
      </c>
      <c r="M12" s="23">
        <v>1190</v>
      </c>
      <c r="N12" s="23">
        <v>1700</v>
      </c>
      <c r="O12">
        <v>3</v>
      </c>
      <c r="P12" s="23"/>
      <c r="Q12" s="23"/>
      <c r="R12" s="23">
        <f t="shared" si="0"/>
        <v>0</v>
      </c>
      <c r="S12" t="s">
        <v>23</v>
      </c>
      <c r="T12" t="s">
        <v>35</v>
      </c>
      <c r="U12">
        <v>2023</v>
      </c>
      <c r="V12">
        <v>3023</v>
      </c>
      <c r="W12" t="s">
        <v>59</v>
      </c>
      <c r="X12" t="s">
        <v>26</v>
      </c>
      <c r="Y12">
        <v>20</v>
      </c>
    </row>
    <row r="13" spans="1:25">
      <c r="A13" t="s">
        <v>60</v>
      </c>
      <c r="B13" s="19"/>
      <c r="C13" s="19"/>
      <c r="D13" s="10"/>
      <c r="E13">
        <v>1012</v>
      </c>
      <c r="F13" t="s">
        <v>32</v>
      </c>
      <c r="H13" t="s">
        <v>57</v>
      </c>
      <c r="I13" t="s">
        <v>61</v>
      </c>
      <c r="J13" s="21">
        <v>45009</v>
      </c>
      <c r="M13" s="23">
        <v>1400</v>
      </c>
      <c r="N13" s="23">
        <v>2000</v>
      </c>
      <c r="O13">
        <v>1</v>
      </c>
      <c r="P13" s="23"/>
      <c r="Q13" s="23"/>
      <c r="R13" s="23">
        <f t="shared" si="0"/>
        <v>0</v>
      </c>
      <c r="S13" t="s">
        <v>23</v>
      </c>
      <c r="T13" t="s">
        <v>24</v>
      </c>
      <c r="U13">
        <v>2024</v>
      </c>
      <c r="V13">
        <v>3024</v>
      </c>
      <c r="W13" t="s">
        <v>62</v>
      </c>
      <c r="X13" t="s">
        <v>31</v>
      </c>
      <c r="Y13">
        <v>18</v>
      </c>
    </row>
    <row r="14" spans="1:25">
      <c r="A14" t="s">
        <v>63</v>
      </c>
      <c r="B14" s="19"/>
      <c r="C14" s="19"/>
      <c r="D14" s="10"/>
      <c r="E14">
        <v>1013</v>
      </c>
      <c r="F14" t="s">
        <v>40</v>
      </c>
      <c r="H14" t="s">
        <v>64</v>
      </c>
      <c r="I14" t="s">
        <v>65</v>
      </c>
      <c r="J14" s="21">
        <v>45010</v>
      </c>
      <c r="M14" s="23">
        <v>975</v>
      </c>
      <c r="N14" s="23">
        <v>1500</v>
      </c>
      <c r="O14">
        <v>2</v>
      </c>
      <c r="P14" s="23"/>
      <c r="Q14" s="23"/>
      <c r="R14" s="23">
        <f t="shared" si="0"/>
        <v>0</v>
      </c>
      <c r="S14" t="s">
        <v>28</v>
      </c>
      <c r="T14" t="s">
        <v>29</v>
      </c>
      <c r="U14">
        <v>2025</v>
      </c>
      <c r="V14">
        <v>3025</v>
      </c>
      <c r="W14" t="s">
        <v>66</v>
      </c>
      <c r="X14" t="s">
        <v>26</v>
      </c>
      <c r="Y14">
        <v>28</v>
      </c>
    </row>
    <row r="15" spans="1:25">
      <c r="E15">
        <v>1014</v>
      </c>
      <c r="F15" t="s">
        <v>40</v>
      </c>
      <c r="H15" t="s">
        <v>64</v>
      </c>
      <c r="I15" t="s">
        <v>67</v>
      </c>
      <c r="J15" s="21">
        <v>45011</v>
      </c>
      <c r="M15" s="23">
        <v>1170</v>
      </c>
      <c r="N15" s="23">
        <v>1800</v>
      </c>
      <c r="O15">
        <v>1</v>
      </c>
      <c r="P15" s="23"/>
      <c r="Q15" s="23"/>
      <c r="R15" s="23">
        <f t="shared" si="0"/>
        <v>0</v>
      </c>
      <c r="S15" t="s">
        <v>23</v>
      </c>
      <c r="T15" t="s">
        <v>24</v>
      </c>
      <c r="U15">
        <v>2026</v>
      </c>
      <c r="V15">
        <v>3026</v>
      </c>
      <c r="W15" t="s">
        <v>68</v>
      </c>
      <c r="X15" t="s">
        <v>31</v>
      </c>
      <c r="Y15">
        <v>26</v>
      </c>
    </row>
    <row r="16" spans="1:25">
      <c r="E16">
        <v>1015</v>
      </c>
      <c r="F16" t="s">
        <v>20</v>
      </c>
      <c r="H16" t="s">
        <v>69</v>
      </c>
      <c r="I16" t="s">
        <v>70</v>
      </c>
      <c r="J16" s="21">
        <v>45012</v>
      </c>
      <c r="M16" s="23">
        <v>1656</v>
      </c>
      <c r="N16" s="23">
        <v>2300</v>
      </c>
      <c r="O16">
        <v>2</v>
      </c>
      <c r="P16" s="23"/>
      <c r="Q16" s="23"/>
      <c r="R16" s="23">
        <f t="shared" si="0"/>
        <v>0</v>
      </c>
      <c r="S16" t="s">
        <v>28</v>
      </c>
      <c r="T16" t="s">
        <v>24</v>
      </c>
      <c r="U16">
        <v>2027</v>
      </c>
      <c r="V16">
        <v>3027</v>
      </c>
      <c r="W16" t="s">
        <v>71</v>
      </c>
      <c r="X16" t="s">
        <v>26</v>
      </c>
      <c r="Y16">
        <v>30</v>
      </c>
    </row>
    <row r="17" spans="2:25">
      <c r="B17" s="18"/>
      <c r="C17" s="18"/>
      <c r="E17">
        <v>1016</v>
      </c>
      <c r="F17" t="s">
        <v>20</v>
      </c>
      <c r="H17" t="s">
        <v>69</v>
      </c>
      <c r="I17" t="s">
        <v>72</v>
      </c>
      <c r="J17" s="21">
        <v>45013</v>
      </c>
      <c r="M17" s="23">
        <v>1872</v>
      </c>
      <c r="N17" s="23">
        <v>1600</v>
      </c>
      <c r="O17">
        <v>1</v>
      </c>
      <c r="P17" s="23"/>
      <c r="Q17" s="23"/>
      <c r="R17" s="23">
        <f t="shared" si="0"/>
        <v>0</v>
      </c>
      <c r="S17" t="s">
        <v>23</v>
      </c>
      <c r="T17" t="s">
        <v>29</v>
      </c>
      <c r="U17">
        <v>2028</v>
      </c>
      <c r="V17">
        <v>3028</v>
      </c>
      <c r="W17" t="s">
        <v>73</v>
      </c>
      <c r="X17" t="s">
        <v>31</v>
      </c>
      <c r="Y17">
        <v>28</v>
      </c>
    </row>
    <row r="18" spans="2:25">
      <c r="E18">
        <v>1017</v>
      </c>
      <c r="F18" t="s">
        <v>20</v>
      </c>
      <c r="H18" t="s">
        <v>74</v>
      </c>
      <c r="I18" t="s">
        <v>75</v>
      </c>
      <c r="J18" s="21">
        <v>44996</v>
      </c>
      <c r="M18" s="23">
        <v>780</v>
      </c>
      <c r="N18" s="23">
        <v>1300</v>
      </c>
      <c r="O18">
        <v>2</v>
      </c>
      <c r="P18" s="23"/>
      <c r="Q18" s="23"/>
      <c r="R18" s="23">
        <f t="shared" si="0"/>
        <v>0</v>
      </c>
      <c r="S18" t="s">
        <v>23</v>
      </c>
      <c r="T18" t="s">
        <v>24</v>
      </c>
      <c r="U18">
        <v>2041</v>
      </c>
      <c r="V18">
        <v>3041</v>
      </c>
      <c r="W18" t="s">
        <v>76</v>
      </c>
      <c r="X18" t="s">
        <v>26</v>
      </c>
      <c r="Y18">
        <v>32</v>
      </c>
    </row>
    <row r="19" spans="2:25">
      <c r="E19">
        <v>1018</v>
      </c>
      <c r="F19" t="s">
        <v>20</v>
      </c>
      <c r="H19" t="s">
        <v>74</v>
      </c>
      <c r="I19" t="s">
        <v>77</v>
      </c>
      <c r="J19" s="21">
        <v>44997</v>
      </c>
      <c r="M19" s="23">
        <v>960</v>
      </c>
      <c r="N19" s="23">
        <v>1600</v>
      </c>
      <c r="O19">
        <v>1</v>
      </c>
      <c r="P19" s="23"/>
      <c r="Q19" s="23"/>
      <c r="R19" s="23">
        <f t="shared" si="0"/>
        <v>0</v>
      </c>
      <c r="S19" t="s">
        <v>28</v>
      </c>
      <c r="T19" t="s">
        <v>29</v>
      </c>
      <c r="U19">
        <v>2042</v>
      </c>
      <c r="V19">
        <v>3042</v>
      </c>
      <c r="W19" t="s">
        <v>78</v>
      </c>
      <c r="X19" t="s">
        <v>31</v>
      </c>
      <c r="Y19">
        <v>29</v>
      </c>
    </row>
    <row r="20" spans="2:25">
      <c r="E20">
        <v>1019</v>
      </c>
      <c r="F20" t="s">
        <v>32</v>
      </c>
      <c r="H20" t="s">
        <v>79</v>
      </c>
      <c r="I20" t="s">
        <v>80</v>
      </c>
      <c r="J20" s="21">
        <v>44998</v>
      </c>
      <c r="M20" s="23">
        <v>1292</v>
      </c>
      <c r="N20" s="23">
        <v>1900</v>
      </c>
      <c r="O20">
        <v>3</v>
      </c>
      <c r="P20" s="23"/>
      <c r="Q20" s="23"/>
      <c r="R20" s="23">
        <f t="shared" si="0"/>
        <v>0</v>
      </c>
      <c r="S20" t="s">
        <v>23</v>
      </c>
      <c r="T20" t="s">
        <v>35</v>
      </c>
      <c r="U20">
        <v>2043</v>
      </c>
      <c r="V20">
        <v>3043</v>
      </c>
      <c r="W20" t="s">
        <v>81</v>
      </c>
      <c r="X20" t="s">
        <v>26</v>
      </c>
      <c r="Y20">
        <v>21</v>
      </c>
    </row>
    <row r="21" spans="2:25">
      <c r="E21">
        <v>1020</v>
      </c>
      <c r="F21" t="s">
        <v>32</v>
      </c>
      <c r="H21" t="s">
        <v>79</v>
      </c>
      <c r="I21" t="s">
        <v>82</v>
      </c>
      <c r="J21" s="21">
        <v>44999</v>
      </c>
      <c r="M21" s="23">
        <v>1496</v>
      </c>
      <c r="N21" s="23">
        <v>2200</v>
      </c>
      <c r="O21">
        <v>1</v>
      </c>
      <c r="P21" s="23"/>
      <c r="Q21" s="23"/>
      <c r="R21" s="23">
        <f t="shared" si="0"/>
        <v>0</v>
      </c>
      <c r="S21" t="s">
        <v>23</v>
      </c>
      <c r="T21" t="s">
        <v>24</v>
      </c>
      <c r="U21">
        <v>2044</v>
      </c>
      <c r="V21">
        <v>3044</v>
      </c>
      <c r="W21" t="s">
        <v>83</v>
      </c>
      <c r="X21" t="s">
        <v>31</v>
      </c>
      <c r="Y21">
        <v>19</v>
      </c>
    </row>
    <row r="22" spans="2:25">
      <c r="E22">
        <v>1021</v>
      </c>
      <c r="F22" t="s">
        <v>40</v>
      </c>
      <c r="H22" t="s">
        <v>84</v>
      </c>
      <c r="I22" t="s">
        <v>85</v>
      </c>
      <c r="J22" s="21">
        <v>45000</v>
      </c>
      <c r="M22" s="23">
        <v>1340</v>
      </c>
      <c r="N22" s="23">
        <v>2000</v>
      </c>
      <c r="O22">
        <v>2</v>
      </c>
      <c r="P22" s="23"/>
      <c r="Q22" s="23"/>
      <c r="R22" s="23">
        <f t="shared" si="0"/>
        <v>0</v>
      </c>
      <c r="S22" t="s">
        <v>28</v>
      </c>
      <c r="T22" t="s">
        <v>29</v>
      </c>
      <c r="U22">
        <v>2045</v>
      </c>
      <c r="V22">
        <v>3045</v>
      </c>
      <c r="W22" t="s">
        <v>86</v>
      </c>
      <c r="X22" t="s">
        <v>26</v>
      </c>
      <c r="Y22">
        <v>36</v>
      </c>
    </row>
    <row r="23" spans="2:25">
      <c r="E23">
        <v>1022</v>
      </c>
      <c r="F23" t="s">
        <v>40</v>
      </c>
      <c r="H23" t="s">
        <v>84</v>
      </c>
      <c r="I23" t="s">
        <v>87</v>
      </c>
      <c r="J23" s="21">
        <v>45001</v>
      </c>
      <c r="M23" s="23">
        <v>1541</v>
      </c>
      <c r="N23" s="23">
        <v>2300</v>
      </c>
      <c r="O23">
        <v>1</v>
      </c>
      <c r="P23" s="23"/>
      <c r="Q23" s="23"/>
      <c r="R23" s="23">
        <f t="shared" si="0"/>
        <v>0</v>
      </c>
      <c r="S23" t="s">
        <v>23</v>
      </c>
      <c r="T23" t="s">
        <v>24</v>
      </c>
      <c r="U23">
        <v>2046</v>
      </c>
      <c r="V23">
        <v>3046</v>
      </c>
      <c r="W23" t="s">
        <v>88</v>
      </c>
      <c r="X23" t="s">
        <v>31</v>
      </c>
      <c r="Y23">
        <v>34</v>
      </c>
    </row>
    <row r="24" spans="2:25">
      <c r="E24">
        <v>1023</v>
      </c>
      <c r="F24" t="s">
        <v>20</v>
      </c>
      <c r="H24" t="s">
        <v>89</v>
      </c>
      <c r="I24" t="s">
        <v>90</v>
      </c>
      <c r="J24" s="21">
        <v>45002</v>
      </c>
      <c r="M24" s="23">
        <v>2250</v>
      </c>
      <c r="N24" s="23">
        <v>3000</v>
      </c>
      <c r="O24">
        <v>2</v>
      </c>
      <c r="P24" s="23"/>
      <c r="Q24" s="23"/>
      <c r="R24" s="23">
        <f t="shared" si="0"/>
        <v>0</v>
      </c>
      <c r="S24" t="s">
        <v>28</v>
      </c>
      <c r="T24" t="s">
        <v>24</v>
      </c>
      <c r="U24">
        <v>2047</v>
      </c>
      <c r="V24">
        <v>3047</v>
      </c>
      <c r="W24" t="s">
        <v>91</v>
      </c>
      <c r="X24" t="s">
        <v>26</v>
      </c>
      <c r="Y24">
        <v>40</v>
      </c>
    </row>
    <row r="25" spans="2:25">
      <c r="E25">
        <v>1024</v>
      </c>
      <c r="F25" t="s">
        <v>20</v>
      </c>
      <c r="H25" t="s">
        <v>89</v>
      </c>
      <c r="I25" t="s">
        <v>92</v>
      </c>
      <c r="J25" s="21">
        <v>45003</v>
      </c>
      <c r="M25" s="23">
        <v>2625</v>
      </c>
      <c r="N25" s="23">
        <v>3500</v>
      </c>
      <c r="O25">
        <v>1</v>
      </c>
      <c r="P25" s="23"/>
      <c r="Q25" s="23"/>
      <c r="R25" s="23">
        <f t="shared" si="0"/>
        <v>0</v>
      </c>
      <c r="S25" t="s">
        <v>23</v>
      </c>
      <c r="T25" t="s">
        <v>29</v>
      </c>
      <c r="U25">
        <v>2048</v>
      </c>
      <c r="V25">
        <v>3048</v>
      </c>
      <c r="W25" t="s">
        <v>93</v>
      </c>
      <c r="X25" t="s">
        <v>31</v>
      </c>
      <c r="Y25">
        <v>38</v>
      </c>
    </row>
    <row r="26" spans="2:25">
      <c r="E26">
        <v>1025</v>
      </c>
      <c r="F26" t="s">
        <v>94</v>
      </c>
      <c r="H26" t="s">
        <v>95</v>
      </c>
      <c r="I26" t="s">
        <v>96</v>
      </c>
      <c r="J26" s="21">
        <v>44986</v>
      </c>
      <c r="M26" s="23">
        <v>1460</v>
      </c>
      <c r="N26" s="23">
        <v>2000</v>
      </c>
      <c r="O26">
        <v>2</v>
      </c>
      <c r="P26" s="23"/>
      <c r="Q26" s="23"/>
      <c r="R26" s="23">
        <f t="shared" si="0"/>
        <v>0</v>
      </c>
      <c r="S26" t="s">
        <v>23</v>
      </c>
      <c r="T26" t="s">
        <v>24</v>
      </c>
      <c r="U26">
        <v>2061</v>
      </c>
      <c r="V26">
        <v>3061</v>
      </c>
      <c r="W26" t="s">
        <v>97</v>
      </c>
      <c r="X26" t="s">
        <v>26</v>
      </c>
      <c r="Y26">
        <v>35</v>
      </c>
    </row>
    <row r="27" spans="2:25">
      <c r="E27">
        <v>1026</v>
      </c>
      <c r="F27" t="s">
        <v>94</v>
      </c>
      <c r="H27" t="s">
        <v>95</v>
      </c>
      <c r="I27" t="s">
        <v>98</v>
      </c>
      <c r="J27" s="21">
        <v>44987</v>
      </c>
      <c r="M27" s="23">
        <v>1825</v>
      </c>
      <c r="N27" s="23">
        <v>2500</v>
      </c>
      <c r="O27">
        <v>1</v>
      </c>
      <c r="P27" s="23"/>
      <c r="Q27" s="23"/>
      <c r="R27" s="23">
        <f t="shared" si="0"/>
        <v>0</v>
      </c>
      <c r="S27" t="s">
        <v>28</v>
      </c>
      <c r="T27" t="s">
        <v>29</v>
      </c>
      <c r="U27">
        <v>2062</v>
      </c>
      <c r="V27">
        <v>3062</v>
      </c>
      <c r="W27" t="s">
        <v>99</v>
      </c>
      <c r="X27" t="s">
        <v>31</v>
      </c>
      <c r="Y27">
        <v>33</v>
      </c>
    </row>
    <row r="28" spans="2:25">
      <c r="E28">
        <v>1027</v>
      </c>
      <c r="F28" t="s">
        <v>32</v>
      </c>
      <c r="H28" t="s">
        <v>100</v>
      </c>
      <c r="I28" t="s">
        <v>101</v>
      </c>
      <c r="J28" s="21">
        <v>44988</v>
      </c>
      <c r="M28" s="23">
        <v>1105</v>
      </c>
      <c r="N28" s="23">
        <v>1700</v>
      </c>
      <c r="O28">
        <v>3</v>
      </c>
      <c r="P28" s="23"/>
      <c r="Q28" s="23"/>
      <c r="R28" s="23">
        <f t="shared" si="0"/>
        <v>0</v>
      </c>
      <c r="S28" t="s">
        <v>23</v>
      </c>
      <c r="T28" t="s">
        <v>35</v>
      </c>
      <c r="U28">
        <v>2063</v>
      </c>
      <c r="V28">
        <v>3063</v>
      </c>
      <c r="W28" t="s">
        <v>102</v>
      </c>
      <c r="X28" t="s">
        <v>26</v>
      </c>
      <c r="Y28">
        <v>22</v>
      </c>
    </row>
    <row r="29" spans="2:25">
      <c r="E29">
        <v>1028</v>
      </c>
      <c r="F29" t="s">
        <v>32</v>
      </c>
      <c r="H29" t="s">
        <v>100</v>
      </c>
      <c r="I29" t="s">
        <v>103</v>
      </c>
      <c r="J29" s="21">
        <v>44989</v>
      </c>
      <c r="M29" s="23">
        <v>1365</v>
      </c>
      <c r="N29" s="23">
        <v>2100</v>
      </c>
      <c r="O29">
        <v>1</v>
      </c>
      <c r="P29" s="23"/>
      <c r="Q29" s="23"/>
      <c r="R29" s="23">
        <f t="shared" si="0"/>
        <v>0</v>
      </c>
      <c r="S29" t="s">
        <v>23</v>
      </c>
      <c r="T29" t="s">
        <v>24</v>
      </c>
      <c r="U29">
        <v>2064</v>
      </c>
      <c r="V29">
        <v>3064</v>
      </c>
      <c r="W29" t="s">
        <v>104</v>
      </c>
      <c r="X29" t="s">
        <v>31</v>
      </c>
      <c r="Y29">
        <v>20</v>
      </c>
    </row>
    <row r="30" spans="2:25">
      <c r="E30">
        <v>1029</v>
      </c>
      <c r="F30" t="s">
        <v>40</v>
      </c>
      <c r="H30" t="s">
        <v>105</v>
      </c>
      <c r="I30" t="s">
        <v>106</v>
      </c>
      <c r="J30" s="21">
        <v>44990</v>
      </c>
      <c r="M30" s="23">
        <v>1035</v>
      </c>
      <c r="N30" s="23">
        <v>1500</v>
      </c>
      <c r="O30">
        <v>2</v>
      </c>
      <c r="P30" s="23"/>
      <c r="Q30" s="23"/>
      <c r="R30" s="23">
        <f t="shared" si="0"/>
        <v>0</v>
      </c>
      <c r="S30" t="s">
        <v>28</v>
      </c>
      <c r="T30" t="s">
        <v>29</v>
      </c>
      <c r="U30">
        <v>2065</v>
      </c>
      <c r="V30">
        <v>3065</v>
      </c>
      <c r="W30" t="s">
        <v>107</v>
      </c>
      <c r="X30" t="s">
        <v>26</v>
      </c>
      <c r="Y30">
        <v>30</v>
      </c>
    </row>
    <row r="31" spans="2:25">
      <c r="E31">
        <v>1030</v>
      </c>
      <c r="F31" t="s">
        <v>40</v>
      </c>
      <c r="H31" t="s">
        <v>105</v>
      </c>
      <c r="I31" t="s">
        <v>108</v>
      </c>
      <c r="J31" s="21">
        <v>44991</v>
      </c>
      <c r="M31" s="23">
        <v>1242</v>
      </c>
      <c r="N31" s="23">
        <v>1800</v>
      </c>
      <c r="O31">
        <v>1</v>
      </c>
      <c r="P31" s="23"/>
      <c r="Q31" s="23"/>
      <c r="R31" s="23">
        <f t="shared" si="0"/>
        <v>0</v>
      </c>
      <c r="S31" t="s">
        <v>23</v>
      </c>
      <c r="T31" t="s">
        <v>24</v>
      </c>
      <c r="U31">
        <v>2066</v>
      </c>
      <c r="V31">
        <v>3066</v>
      </c>
      <c r="W31" t="s">
        <v>109</v>
      </c>
      <c r="X31" t="s">
        <v>31</v>
      </c>
      <c r="Y31">
        <v>28</v>
      </c>
    </row>
    <row r="32" spans="2:25">
      <c r="E32">
        <v>1031</v>
      </c>
      <c r="F32" t="s">
        <v>94</v>
      </c>
      <c r="H32" t="s">
        <v>110</v>
      </c>
      <c r="I32" t="s">
        <v>111</v>
      </c>
      <c r="J32" s="21">
        <v>44992</v>
      </c>
      <c r="M32" s="23">
        <v>2080</v>
      </c>
      <c r="N32" s="23">
        <v>3200</v>
      </c>
      <c r="O32">
        <v>2</v>
      </c>
      <c r="P32" s="23"/>
      <c r="Q32" s="23"/>
      <c r="R32" s="23">
        <f t="shared" si="0"/>
        <v>0</v>
      </c>
      <c r="S32" t="s">
        <v>28</v>
      </c>
      <c r="T32" t="s">
        <v>24</v>
      </c>
      <c r="U32">
        <v>2067</v>
      </c>
      <c r="V32">
        <v>3067</v>
      </c>
      <c r="W32" t="s">
        <v>91</v>
      </c>
      <c r="X32" t="s">
        <v>26</v>
      </c>
      <c r="Y32">
        <v>42</v>
      </c>
    </row>
    <row r="33" spans="5:25">
      <c r="E33">
        <v>1032</v>
      </c>
      <c r="F33" t="s">
        <v>94</v>
      </c>
      <c r="H33" t="s">
        <v>110</v>
      </c>
      <c r="I33" t="s">
        <v>112</v>
      </c>
      <c r="J33" s="21">
        <v>44993</v>
      </c>
      <c r="M33" s="23">
        <v>2405</v>
      </c>
      <c r="N33" s="23">
        <v>3700</v>
      </c>
      <c r="O33">
        <v>1</v>
      </c>
      <c r="P33" s="23"/>
      <c r="Q33" s="23"/>
      <c r="R33" s="23">
        <f t="shared" si="0"/>
        <v>0</v>
      </c>
      <c r="S33" t="s">
        <v>23</v>
      </c>
      <c r="T33" t="s">
        <v>29</v>
      </c>
      <c r="U33">
        <v>2068</v>
      </c>
      <c r="V33">
        <v>3068</v>
      </c>
      <c r="W33" t="s">
        <v>93</v>
      </c>
      <c r="X33" t="s">
        <v>31</v>
      </c>
      <c r="Y33">
        <v>40</v>
      </c>
    </row>
    <row r="34" spans="5:25">
      <c r="E34">
        <v>1033</v>
      </c>
      <c r="F34" t="s">
        <v>113</v>
      </c>
      <c r="H34" t="s">
        <v>114</v>
      </c>
      <c r="I34" t="s">
        <v>115</v>
      </c>
      <c r="J34" s="21">
        <v>44976</v>
      </c>
      <c r="M34" s="23">
        <v>720</v>
      </c>
      <c r="N34" s="23">
        <v>1200</v>
      </c>
      <c r="O34">
        <v>2</v>
      </c>
      <c r="P34" s="23"/>
      <c r="Q34" s="23"/>
      <c r="R34" s="23">
        <f t="shared" si="0"/>
        <v>0</v>
      </c>
      <c r="S34" t="s">
        <v>23</v>
      </c>
      <c r="T34" t="s">
        <v>24</v>
      </c>
      <c r="U34">
        <v>2081</v>
      </c>
      <c r="V34">
        <v>3081</v>
      </c>
      <c r="W34" t="s">
        <v>116</v>
      </c>
      <c r="X34" t="s">
        <v>26</v>
      </c>
      <c r="Y34">
        <v>27</v>
      </c>
    </row>
    <row r="35" spans="5:25">
      <c r="E35">
        <v>1034</v>
      </c>
      <c r="F35" t="s">
        <v>113</v>
      </c>
      <c r="H35" t="s">
        <v>114</v>
      </c>
      <c r="I35" t="s">
        <v>117</v>
      </c>
      <c r="J35" s="21">
        <v>44977</v>
      </c>
      <c r="M35" s="23">
        <v>900</v>
      </c>
      <c r="N35" s="23">
        <v>1500</v>
      </c>
      <c r="O35">
        <v>1</v>
      </c>
      <c r="P35" s="23"/>
      <c r="Q35" s="23"/>
      <c r="R35" s="23">
        <f t="shared" si="0"/>
        <v>0</v>
      </c>
      <c r="S35" t="s">
        <v>28</v>
      </c>
      <c r="T35" t="s">
        <v>29</v>
      </c>
      <c r="U35">
        <v>2082</v>
      </c>
      <c r="V35">
        <v>3082</v>
      </c>
      <c r="W35" t="s">
        <v>118</v>
      </c>
      <c r="X35" t="s">
        <v>31</v>
      </c>
      <c r="Y35">
        <v>25</v>
      </c>
    </row>
    <row r="36" spans="5:25">
      <c r="E36">
        <v>1035</v>
      </c>
      <c r="F36" t="s">
        <v>32</v>
      </c>
      <c r="H36" t="s">
        <v>119</v>
      </c>
      <c r="I36" t="s">
        <v>120</v>
      </c>
      <c r="J36" s="21">
        <v>44978</v>
      </c>
      <c r="M36" s="23">
        <v>1932</v>
      </c>
      <c r="N36" s="23">
        <v>2800</v>
      </c>
      <c r="O36">
        <v>3</v>
      </c>
      <c r="P36" s="23"/>
      <c r="Q36" s="23"/>
      <c r="R36" s="23">
        <f t="shared" si="0"/>
        <v>0</v>
      </c>
      <c r="S36" t="s">
        <v>23</v>
      </c>
      <c r="T36" t="s">
        <v>35</v>
      </c>
      <c r="U36">
        <v>2083</v>
      </c>
      <c r="V36">
        <v>3083</v>
      </c>
      <c r="W36" t="s">
        <v>121</v>
      </c>
      <c r="X36" t="s">
        <v>26</v>
      </c>
      <c r="Y36">
        <v>18</v>
      </c>
    </row>
    <row r="37" spans="5:25">
      <c r="E37">
        <v>1036</v>
      </c>
      <c r="F37" t="s">
        <v>32</v>
      </c>
      <c r="H37" t="s">
        <v>119</v>
      </c>
      <c r="I37" t="s">
        <v>122</v>
      </c>
      <c r="J37" s="21">
        <v>44979</v>
      </c>
      <c r="M37" s="23">
        <v>2208</v>
      </c>
      <c r="N37" s="23">
        <v>3200</v>
      </c>
      <c r="O37">
        <v>1</v>
      </c>
      <c r="P37" s="23"/>
      <c r="Q37" s="23"/>
      <c r="R37" s="23">
        <f t="shared" si="0"/>
        <v>0</v>
      </c>
      <c r="S37" t="s">
        <v>23</v>
      </c>
      <c r="T37" t="s">
        <v>24</v>
      </c>
      <c r="U37">
        <v>2084</v>
      </c>
      <c r="V37">
        <v>3084</v>
      </c>
      <c r="W37" t="s">
        <v>123</v>
      </c>
      <c r="X37" t="s">
        <v>31</v>
      </c>
      <c r="Y37">
        <v>16</v>
      </c>
    </row>
    <row r="38" spans="5:25">
      <c r="E38">
        <v>1037</v>
      </c>
      <c r="F38" t="s">
        <v>40</v>
      </c>
      <c r="H38" t="s">
        <v>124</v>
      </c>
      <c r="I38" t="s">
        <v>125</v>
      </c>
      <c r="J38" s="21">
        <v>44980</v>
      </c>
      <c r="M38" s="23">
        <v>1500</v>
      </c>
      <c r="N38" s="23">
        <v>2000</v>
      </c>
      <c r="O38">
        <v>2</v>
      </c>
      <c r="P38" s="23"/>
      <c r="Q38" s="23"/>
      <c r="R38" s="23">
        <f t="shared" si="0"/>
        <v>0</v>
      </c>
      <c r="S38" t="s">
        <v>28</v>
      </c>
      <c r="T38" t="s">
        <v>29</v>
      </c>
      <c r="U38">
        <v>2085</v>
      </c>
      <c r="V38">
        <v>3085</v>
      </c>
      <c r="W38" t="s">
        <v>126</v>
      </c>
      <c r="X38" t="s">
        <v>26</v>
      </c>
      <c r="Y38">
        <v>33</v>
      </c>
    </row>
    <row r="39" spans="5:25">
      <c r="E39">
        <v>1038</v>
      </c>
      <c r="F39" t="s">
        <v>40</v>
      </c>
      <c r="H39" t="s">
        <v>124</v>
      </c>
      <c r="I39" t="s">
        <v>127</v>
      </c>
      <c r="J39" s="21">
        <v>44981</v>
      </c>
      <c r="M39" s="23">
        <v>1800</v>
      </c>
      <c r="N39" s="23">
        <v>2400</v>
      </c>
      <c r="O39">
        <v>1</v>
      </c>
      <c r="P39" s="23"/>
      <c r="Q39" s="23"/>
      <c r="R39" s="23">
        <f t="shared" si="0"/>
        <v>0</v>
      </c>
      <c r="S39" t="s">
        <v>23</v>
      </c>
      <c r="T39" t="s">
        <v>24</v>
      </c>
      <c r="U39">
        <v>2086</v>
      </c>
      <c r="V39">
        <v>3086</v>
      </c>
      <c r="W39" t="s">
        <v>128</v>
      </c>
      <c r="X39" t="s">
        <v>31</v>
      </c>
      <c r="Y39">
        <v>30</v>
      </c>
    </row>
    <row r="40" spans="5:25">
      <c r="E40">
        <v>1039</v>
      </c>
      <c r="F40" t="s">
        <v>20</v>
      </c>
      <c r="H40" t="s">
        <v>46</v>
      </c>
      <c r="I40" t="s">
        <v>129</v>
      </c>
      <c r="J40" s="21">
        <v>44982</v>
      </c>
      <c r="M40" s="23">
        <v>2291</v>
      </c>
      <c r="N40" s="23">
        <v>2900</v>
      </c>
      <c r="O40">
        <v>2</v>
      </c>
      <c r="P40" s="23"/>
      <c r="Q40" s="23"/>
      <c r="R40" s="23">
        <f t="shared" si="0"/>
        <v>0</v>
      </c>
      <c r="S40" t="s">
        <v>28</v>
      </c>
      <c r="T40" t="s">
        <v>24</v>
      </c>
      <c r="U40">
        <v>2087</v>
      </c>
      <c r="V40">
        <v>3087</v>
      </c>
      <c r="W40" t="s">
        <v>130</v>
      </c>
      <c r="X40" t="s">
        <v>26</v>
      </c>
      <c r="Y40">
        <v>34</v>
      </c>
    </row>
    <row r="41" spans="5:25">
      <c r="E41">
        <v>1040</v>
      </c>
      <c r="F41" t="s">
        <v>20</v>
      </c>
      <c r="H41" t="s">
        <v>46</v>
      </c>
      <c r="I41" t="s">
        <v>131</v>
      </c>
      <c r="J41" s="21">
        <v>44983</v>
      </c>
      <c r="M41" s="23">
        <v>2607</v>
      </c>
      <c r="N41" s="23">
        <v>3300</v>
      </c>
      <c r="O41">
        <v>1</v>
      </c>
      <c r="P41" s="23"/>
      <c r="Q41" s="23"/>
      <c r="R41" s="23">
        <f t="shared" si="0"/>
        <v>0</v>
      </c>
      <c r="S41" t="s">
        <v>28</v>
      </c>
      <c r="T41" t="s">
        <v>29</v>
      </c>
      <c r="U41">
        <v>2088</v>
      </c>
      <c r="V41">
        <v>3088</v>
      </c>
      <c r="W41" t="s">
        <v>132</v>
      </c>
      <c r="X41" t="s">
        <v>31</v>
      </c>
      <c r="Y41">
        <v>32</v>
      </c>
    </row>
    <row r="42" spans="5:25">
      <c r="E42">
        <v>1041</v>
      </c>
      <c r="F42" t="s">
        <v>133</v>
      </c>
      <c r="H42" t="s">
        <v>134</v>
      </c>
      <c r="I42" t="s">
        <v>135</v>
      </c>
      <c r="J42" s="21">
        <v>44958</v>
      </c>
      <c r="M42" s="23">
        <v>90</v>
      </c>
      <c r="N42" s="23">
        <v>150</v>
      </c>
      <c r="O42">
        <v>2</v>
      </c>
      <c r="P42" s="23"/>
      <c r="Q42" s="23"/>
      <c r="R42" s="23">
        <f t="shared" si="0"/>
        <v>0</v>
      </c>
      <c r="S42" t="s">
        <v>23</v>
      </c>
      <c r="T42" t="s">
        <v>24</v>
      </c>
      <c r="U42">
        <v>2101</v>
      </c>
      <c r="V42">
        <v>3101</v>
      </c>
      <c r="W42" t="s">
        <v>136</v>
      </c>
      <c r="X42" t="s">
        <v>26</v>
      </c>
      <c r="Y42">
        <v>10</v>
      </c>
    </row>
    <row r="43" spans="5:25">
      <c r="E43">
        <v>1042</v>
      </c>
      <c r="F43" t="s">
        <v>133</v>
      </c>
      <c r="H43" t="s">
        <v>134</v>
      </c>
      <c r="I43" t="s">
        <v>137</v>
      </c>
      <c r="J43" s="21">
        <v>44959</v>
      </c>
      <c r="M43" s="23">
        <v>120</v>
      </c>
      <c r="N43" s="23">
        <v>200</v>
      </c>
      <c r="O43">
        <v>1</v>
      </c>
      <c r="P43" s="23"/>
      <c r="Q43" s="23"/>
      <c r="R43" s="23">
        <f t="shared" si="0"/>
        <v>0</v>
      </c>
      <c r="S43" t="s">
        <v>28</v>
      </c>
      <c r="T43" t="s">
        <v>29</v>
      </c>
      <c r="U43">
        <v>2102</v>
      </c>
      <c r="V43">
        <v>3102</v>
      </c>
      <c r="W43" t="s">
        <v>138</v>
      </c>
      <c r="X43" t="s">
        <v>31</v>
      </c>
      <c r="Y43">
        <v>9</v>
      </c>
    </row>
    <row r="44" spans="5:25">
      <c r="E44">
        <v>1043</v>
      </c>
      <c r="F44" t="s">
        <v>139</v>
      </c>
      <c r="H44" t="s">
        <v>140</v>
      </c>
      <c r="I44" t="s">
        <v>141</v>
      </c>
      <c r="J44" s="21">
        <v>44960</v>
      </c>
      <c r="M44" s="23">
        <v>240</v>
      </c>
      <c r="N44" s="23">
        <v>400</v>
      </c>
      <c r="O44">
        <v>3</v>
      </c>
      <c r="P44" s="23"/>
      <c r="Q44" s="23"/>
      <c r="R44" s="23">
        <f t="shared" si="0"/>
        <v>0</v>
      </c>
      <c r="S44" t="s">
        <v>23</v>
      </c>
      <c r="T44" t="s">
        <v>35</v>
      </c>
      <c r="U44">
        <v>2103</v>
      </c>
      <c r="V44">
        <v>3103</v>
      </c>
      <c r="W44" t="s">
        <v>142</v>
      </c>
      <c r="X44" t="s">
        <v>26</v>
      </c>
      <c r="Y44">
        <v>25</v>
      </c>
    </row>
    <row r="45" spans="5:25">
      <c r="E45">
        <v>1044</v>
      </c>
      <c r="F45" t="s">
        <v>139</v>
      </c>
      <c r="H45" t="s">
        <v>140</v>
      </c>
      <c r="I45" t="s">
        <v>143</v>
      </c>
      <c r="J45" s="21">
        <v>44961</v>
      </c>
      <c r="M45" s="23">
        <v>360</v>
      </c>
      <c r="N45" s="23">
        <v>600</v>
      </c>
      <c r="O45">
        <v>1</v>
      </c>
      <c r="P45" s="23"/>
      <c r="Q45" s="23"/>
      <c r="R45" s="23">
        <f t="shared" si="0"/>
        <v>0</v>
      </c>
      <c r="S45" t="s">
        <v>23</v>
      </c>
      <c r="T45" t="s">
        <v>24</v>
      </c>
      <c r="U45">
        <v>2104</v>
      </c>
      <c r="V45">
        <v>3104</v>
      </c>
      <c r="W45" t="s">
        <v>144</v>
      </c>
      <c r="X45" t="s">
        <v>31</v>
      </c>
      <c r="Y45">
        <v>23</v>
      </c>
    </row>
    <row r="46" spans="5:25">
      <c r="E46">
        <v>1045</v>
      </c>
      <c r="F46" t="s">
        <v>20</v>
      </c>
      <c r="H46" t="s">
        <v>21</v>
      </c>
      <c r="I46" t="s">
        <v>145</v>
      </c>
      <c r="J46" s="21">
        <v>44962</v>
      </c>
      <c r="M46" s="23">
        <v>1296</v>
      </c>
      <c r="N46" s="23">
        <v>1800</v>
      </c>
      <c r="O46">
        <v>2</v>
      </c>
      <c r="P46" s="23"/>
      <c r="Q46" s="23"/>
      <c r="R46" s="23">
        <f t="shared" si="0"/>
        <v>0</v>
      </c>
      <c r="S46" t="s">
        <v>28</v>
      </c>
      <c r="T46" t="s">
        <v>29</v>
      </c>
      <c r="U46">
        <v>2105</v>
      </c>
      <c r="V46">
        <v>3105</v>
      </c>
      <c r="W46" t="s">
        <v>146</v>
      </c>
      <c r="X46" t="s">
        <v>26</v>
      </c>
      <c r="Y46">
        <v>29</v>
      </c>
    </row>
    <row r="47" spans="5:25">
      <c r="E47">
        <v>1046</v>
      </c>
      <c r="F47" t="s">
        <v>20</v>
      </c>
      <c r="H47" t="s">
        <v>21</v>
      </c>
      <c r="I47" t="s">
        <v>147</v>
      </c>
      <c r="J47" s="21">
        <v>44963</v>
      </c>
      <c r="M47" s="23">
        <v>1728</v>
      </c>
      <c r="N47" s="23">
        <v>2400</v>
      </c>
      <c r="O47">
        <v>1</v>
      </c>
      <c r="P47" s="23"/>
      <c r="Q47" s="23"/>
      <c r="R47" s="23">
        <f t="shared" si="0"/>
        <v>0</v>
      </c>
      <c r="S47" t="s">
        <v>23</v>
      </c>
      <c r="T47" t="s">
        <v>24</v>
      </c>
      <c r="U47">
        <v>2106</v>
      </c>
      <c r="V47">
        <v>3106</v>
      </c>
      <c r="W47" t="s">
        <v>148</v>
      </c>
      <c r="X47" t="s">
        <v>31</v>
      </c>
      <c r="Y47">
        <v>27</v>
      </c>
    </row>
    <row r="48" spans="5:25">
      <c r="E48">
        <v>1047</v>
      </c>
      <c r="F48" t="s">
        <v>32</v>
      </c>
      <c r="H48" t="s">
        <v>149</v>
      </c>
      <c r="I48" t="s">
        <v>150</v>
      </c>
      <c r="J48" s="21">
        <v>44964</v>
      </c>
      <c r="M48" s="23">
        <v>1491</v>
      </c>
      <c r="N48" s="23">
        <v>2100</v>
      </c>
      <c r="O48">
        <v>2</v>
      </c>
      <c r="P48" s="23"/>
      <c r="Q48" s="23"/>
      <c r="R48" s="23">
        <f t="shared" si="0"/>
        <v>0</v>
      </c>
      <c r="S48" t="s">
        <v>28</v>
      </c>
      <c r="T48" t="s">
        <v>24</v>
      </c>
      <c r="U48">
        <v>2107</v>
      </c>
      <c r="V48">
        <v>3107</v>
      </c>
      <c r="W48" t="s">
        <v>151</v>
      </c>
      <c r="X48" t="s">
        <v>26</v>
      </c>
      <c r="Y48">
        <v>20</v>
      </c>
    </row>
    <row r="49" spans="5:25">
      <c r="E49">
        <v>1048</v>
      </c>
      <c r="F49" t="s">
        <v>32</v>
      </c>
      <c r="H49" t="s">
        <v>149</v>
      </c>
      <c r="I49" t="s">
        <v>152</v>
      </c>
      <c r="J49" s="21">
        <v>44965</v>
      </c>
      <c r="M49" s="23">
        <v>1846</v>
      </c>
      <c r="N49" s="23">
        <v>2600</v>
      </c>
      <c r="O49">
        <v>1</v>
      </c>
      <c r="P49" s="23"/>
      <c r="Q49" s="23"/>
      <c r="R49" s="23">
        <f t="shared" si="0"/>
        <v>0</v>
      </c>
      <c r="S49" t="s">
        <v>23</v>
      </c>
      <c r="T49" t="s">
        <v>29</v>
      </c>
      <c r="U49">
        <v>2108</v>
      </c>
      <c r="V49">
        <v>3108</v>
      </c>
      <c r="W49" t="s">
        <v>153</v>
      </c>
      <c r="X49" t="s">
        <v>31</v>
      </c>
      <c r="Y49">
        <v>18</v>
      </c>
    </row>
    <row r="50" spans="5:25">
      <c r="E50">
        <v>1049</v>
      </c>
      <c r="F50" t="s">
        <v>20</v>
      </c>
      <c r="H50" t="s">
        <v>21</v>
      </c>
      <c r="I50" t="s">
        <v>22</v>
      </c>
      <c r="J50" s="21">
        <v>44562</v>
      </c>
      <c r="M50" s="23">
        <v>840</v>
      </c>
      <c r="N50" s="23">
        <v>1200</v>
      </c>
      <c r="O50">
        <v>2</v>
      </c>
      <c r="P50" s="23"/>
      <c r="Q50" s="23"/>
      <c r="R50" s="23">
        <f t="shared" si="0"/>
        <v>0</v>
      </c>
      <c r="S50" t="s">
        <v>23</v>
      </c>
      <c r="T50" t="s">
        <v>24</v>
      </c>
      <c r="U50">
        <v>2001</v>
      </c>
      <c r="V50">
        <v>3001</v>
      </c>
      <c r="W50" t="s">
        <v>25</v>
      </c>
      <c r="X50" t="s">
        <v>26</v>
      </c>
      <c r="Y50">
        <v>25</v>
      </c>
    </row>
    <row r="51" spans="5:25">
      <c r="E51">
        <v>1050</v>
      </c>
      <c r="F51" t="s">
        <v>20</v>
      </c>
      <c r="H51" t="s">
        <v>21</v>
      </c>
      <c r="I51" t="s">
        <v>27</v>
      </c>
      <c r="J51" s="21">
        <v>44563</v>
      </c>
      <c r="M51" s="23">
        <v>1050</v>
      </c>
      <c r="N51" s="23">
        <v>1500</v>
      </c>
      <c r="O51">
        <v>1</v>
      </c>
      <c r="P51" s="23"/>
      <c r="Q51" s="23"/>
      <c r="R51" s="23">
        <f t="shared" si="0"/>
        <v>0</v>
      </c>
      <c r="S51" t="s">
        <v>28</v>
      </c>
      <c r="T51" t="s">
        <v>29</v>
      </c>
      <c r="U51">
        <v>2002</v>
      </c>
      <c r="V51">
        <v>3002</v>
      </c>
      <c r="W51" t="s">
        <v>30</v>
      </c>
      <c r="X51" t="s">
        <v>31</v>
      </c>
      <c r="Y51">
        <v>22</v>
      </c>
    </row>
    <row r="52" spans="5:25">
      <c r="E52">
        <v>1051</v>
      </c>
      <c r="F52" t="s">
        <v>32</v>
      </c>
      <c r="H52" t="s">
        <v>33</v>
      </c>
      <c r="I52" t="s">
        <v>34</v>
      </c>
      <c r="J52" s="21">
        <v>44564</v>
      </c>
      <c r="M52" s="23">
        <v>1260</v>
      </c>
      <c r="N52" s="23">
        <v>1800</v>
      </c>
      <c r="O52">
        <v>3</v>
      </c>
      <c r="P52" s="23"/>
      <c r="Q52" s="23"/>
      <c r="R52" s="23">
        <f t="shared" si="0"/>
        <v>0</v>
      </c>
      <c r="S52" t="s">
        <v>23</v>
      </c>
      <c r="T52" t="s">
        <v>35</v>
      </c>
      <c r="U52">
        <v>2003</v>
      </c>
      <c r="V52">
        <v>3003</v>
      </c>
      <c r="W52" t="s">
        <v>36</v>
      </c>
      <c r="X52" t="s">
        <v>26</v>
      </c>
      <c r="Y52">
        <v>18</v>
      </c>
    </row>
    <row r="53" spans="5:25">
      <c r="E53">
        <v>1052</v>
      </c>
      <c r="F53" t="s">
        <v>32</v>
      </c>
      <c r="H53" t="s">
        <v>33</v>
      </c>
      <c r="I53" t="s">
        <v>38</v>
      </c>
      <c r="J53" s="21">
        <v>44565</v>
      </c>
      <c r="M53" s="23">
        <v>1470</v>
      </c>
      <c r="N53" s="23">
        <v>2100</v>
      </c>
      <c r="O53">
        <v>1</v>
      </c>
      <c r="P53" s="23"/>
      <c r="Q53" s="23"/>
      <c r="R53" s="23">
        <f t="shared" si="0"/>
        <v>0</v>
      </c>
      <c r="S53" t="s">
        <v>23</v>
      </c>
      <c r="T53" t="s">
        <v>24</v>
      </c>
      <c r="U53">
        <v>2004</v>
      </c>
      <c r="V53">
        <v>3004</v>
      </c>
      <c r="W53" t="s">
        <v>39</v>
      </c>
      <c r="X53" t="s">
        <v>31</v>
      </c>
      <c r="Y53">
        <v>16</v>
      </c>
    </row>
    <row r="54" spans="5:25">
      <c r="E54">
        <v>1053</v>
      </c>
      <c r="F54" t="s">
        <v>40</v>
      </c>
      <c r="H54" t="s">
        <v>41</v>
      </c>
      <c r="I54" t="s">
        <v>42</v>
      </c>
      <c r="J54" s="21">
        <v>44566</v>
      </c>
      <c r="M54" s="23">
        <v>897</v>
      </c>
      <c r="N54" s="23">
        <v>1300</v>
      </c>
      <c r="O54">
        <v>2</v>
      </c>
      <c r="P54" s="23"/>
      <c r="Q54" s="23"/>
      <c r="R54" s="23">
        <f t="shared" si="0"/>
        <v>0</v>
      </c>
      <c r="S54" t="s">
        <v>28</v>
      </c>
      <c r="T54" t="s">
        <v>29</v>
      </c>
      <c r="U54">
        <v>2005</v>
      </c>
      <c r="V54">
        <v>3005</v>
      </c>
      <c r="W54" t="s">
        <v>43</v>
      </c>
      <c r="X54" t="s">
        <v>26</v>
      </c>
      <c r="Y54">
        <v>27</v>
      </c>
    </row>
    <row r="55" spans="5:25">
      <c r="E55">
        <v>1054</v>
      </c>
      <c r="F55" t="s">
        <v>40</v>
      </c>
      <c r="H55" t="s">
        <v>41</v>
      </c>
      <c r="I55" t="s">
        <v>44</v>
      </c>
      <c r="J55" s="21">
        <v>44567</v>
      </c>
      <c r="M55" s="23">
        <v>1104</v>
      </c>
      <c r="N55" s="23">
        <v>1600</v>
      </c>
      <c r="O55">
        <v>1</v>
      </c>
      <c r="P55" s="23"/>
      <c r="Q55" s="23"/>
      <c r="R55" s="23">
        <f t="shared" si="0"/>
        <v>0</v>
      </c>
      <c r="S55" t="s">
        <v>23</v>
      </c>
      <c r="T55" t="s">
        <v>24</v>
      </c>
      <c r="U55">
        <v>2006</v>
      </c>
      <c r="V55">
        <v>3006</v>
      </c>
      <c r="W55" t="s">
        <v>45</v>
      </c>
      <c r="X55" t="s">
        <v>31</v>
      </c>
      <c r="Y55">
        <v>24</v>
      </c>
    </row>
    <row r="56" spans="5:25">
      <c r="E56">
        <v>1055</v>
      </c>
      <c r="F56" t="s">
        <v>40</v>
      </c>
      <c r="H56" t="s">
        <v>84</v>
      </c>
      <c r="I56" t="s">
        <v>85</v>
      </c>
      <c r="J56" s="21">
        <v>44576</v>
      </c>
      <c r="M56" s="23">
        <v>1340</v>
      </c>
      <c r="N56" s="23">
        <v>2000</v>
      </c>
      <c r="O56">
        <v>2</v>
      </c>
      <c r="P56" s="23"/>
      <c r="Q56" s="23"/>
      <c r="R56" s="23">
        <f t="shared" si="0"/>
        <v>0</v>
      </c>
      <c r="S56" t="s">
        <v>28</v>
      </c>
      <c r="T56" t="s">
        <v>29</v>
      </c>
      <c r="U56">
        <v>2045</v>
      </c>
      <c r="V56">
        <v>3045</v>
      </c>
      <c r="W56" t="s">
        <v>86</v>
      </c>
      <c r="X56" t="s">
        <v>26</v>
      </c>
      <c r="Y56">
        <v>36</v>
      </c>
    </row>
    <row r="57" spans="5:25">
      <c r="E57">
        <v>1056</v>
      </c>
      <c r="F57" t="s">
        <v>40</v>
      </c>
      <c r="H57" t="s">
        <v>84</v>
      </c>
      <c r="I57" t="s">
        <v>87</v>
      </c>
      <c r="J57" s="21">
        <v>44577</v>
      </c>
      <c r="M57" s="23">
        <v>1541</v>
      </c>
      <c r="N57" s="23">
        <v>2300</v>
      </c>
      <c r="O57">
        <v>1</v>
      </c>
      <c r="P57" s="23"/>
      <c r="Q57" s="23"/>
      <c r="R57" s="23">
        <f t="shared" si="0"/>
        <v>0</v>
      </c>
      <c r="S57" t="s">
        <v>23</v>
      </c>
      <c r="T57" t="s">
        <v>24</v>
      </c>
      <c r="U57">
        <v>2046</v>
      </c>
      <c r="V57">
        <v>3046</v>
      </c>
      <c r="W57" t="s">
        <v>88</v>
      </c>
      <c r="X57" t="s">
        <v>31</v>
      </c>
      <c r="Y57">
        <v>34</v>
      </c>
    </row>
    <row r="58" spans="5:25">
      <c r="E58">
        <v>1057</v>
      </c>
      <c r="F58" t="s">
        <v>20</v>
      </c>
      <c r="H58" t="s">
        <v>89</v>
      </c>
      <c r="I58" t="s">
        <v>90</v>
      </c>
      <c r="J58" s="21">
        <v>44578</v>
      </c>
      <c r="M58" s="23">
        <v>2250</v>
      </c>
      <c r="N58" s="23">
        <v>3000</v>
      </c>
      <c r="O58">
        <v>2</v>
      </c>
      <c r="P58" s="23"/>
      <c r="Q58" s="23"/>
      <c r="R58" s="23">
        <f t="shared" si="0"/>
        <v>0</v>
      </c>
      <c r="S58" t="s">
        <v>28</v>
      </c>
      <c r="T58" t="s">
        <v>24</v>
      </c>
      <c r="U58">
        <v>2047</v>
      </c>
      <c r="V58">
        <v>3047</v>
      </c>
      <c r="W58" t="s">
        <v>91</v>
      </c>
      <c r="X58" t="s">
        <v>26</v>
      </c>
      <c r="Y58">
        <v>40</v>
      </c>
    </row>
    <row r="59" spans="5:25">
      <c r="E59">
        <v>1058</v>
      </c>
      <c r="F59" t="s">
        <v>20</v>
      </c>
      <c r="H59" t="s">
        <v>89</v>
      </c>
      <c r="I59" t="s">
        <v>92</v>
      </c>
      <c r="J59" s="21">
        <v>44579</v>
      </c>
      <c r="M59" s="23">
        <v>2625</v>
      </c>
      <c r="N59" s="23">
        <v>3500</v>
      </c>
      <c r="O59">
        <v>1</v>
      </c>
      <c r="P59" s="23"/>
      <c r="Q59" s="23"/>
      <c r="R59" s="23">
        <f t="shared" si="0"/>
        <v>0</v>
      </c>
      <c r="S59" t="s">
        <v>23</v>
      </c>
      <c r="T59" t="s">
        <v>29</v>
      </c>
      <c r="U59">
        <v>2048</v>
      </c>
      <c r="V59">
        <v>3048</v>
      </c>
      <c r="W59" t="s">
        <v>93</v>
      </c>
      <c r="X59" t="s">
        <v>31</v>
      </c>
      <c r="Y59">
        <v>38</v>
      </c>
    </row>
    <row r="60" spans="5:25">
      <c r="E60">
        <v>1059</v>
      </c>
      <c r="F60" t="s">
        <v>94</v>
      </c>
      <c r="H60" t="s">
        <v>95</v>
      </c>
      <c r="I60" t="s">
        <v>96</v>
      </c>
      <c r="J60" s="21">
        <v>44562</v>
      </c>
      <c r="M60" s="23">
        <v>1460</v>
      </c>
      <c r="N60" s="23">
        <v>2000</v>
      </c>
      <c r="O60">
        <v>2</v>
      </c>
      <c r="P60" s="23"/>
      <c r="Q60" s="23"/>
      <c r="R60" s="23">
        <f t="shared" si="0"/>
        <v>0</v>
      </c>
      <c r="S60" t="s">
        <v>23</v>
      </c>
      <c r="T60" t="s">
        <v>24</v>
      </c>
      <c r="U60">
        <v>2061</v>
      </c>
      <c r="V60">
        <v>3061</v>
      </c>
      <c r="W60" t="s">
        <v>97</v>
      </c>
      <c r="X60" t="s">
        <v>26</v>
      </c>
      <c r="Y60">
        <v>35</v>
      </c>
    </row>
    <row r="61" spans="5:25">
      <c r="E61">
        <v>1060</v>
      </c>
      <c r="F61" t="s">
        <v>94</v>
      </c>
      <c r="H61" t="s">
        <v>95</v>
      </c>
      <c r="I61" t="s">
        <v>98</v>
      </c>
      <c r="J61" s="21">
        <v>44563</v>
      </c>
      <c r="M61" s="23">
        <v>1825</v>
      </c>
      <c r="N61" s="23">
        <v>2500</v>
      </c>
      <c r="O61">
        <v>1</v>
      </c>
      <c r="P61" s="23"/>
      <c r="Q61" s="23"/>
      <c r="R61" s="23">
        <f t="shared" si="0"/>
        <v>0</v>
      </c>
      <c r="S61" t="s">
        <v>28</v>
      </c>
      <c r="T61" t="s">
        <v>29</v>
      </c>
      <c r="U61">
        <v>2062</v>
      </c>
      <c r="V61">
        <v>3062</v>
      </c>
      <c r="W61" t="s">
        <v>99</v>
      </c>
      <c r="X61" t="s">
        <v>31</v>
      </c>
      <c r="Y61">
        <v>33</v>
      </c>
    </row>
    <row r="62" spans="5:25">
      <c r="E62">
        <v>1061</v>
      </c>
      <c r="F62" t="s">
        <v>32</v>
      </c>
      <c r="H62" t="s">
        <v>79</v>
      </c>
      <c r="I62" t="s">
        <v>80</v>
      </c>
      <c r="J62" s="21">
        <v>44574</v>
      </c>
      <c r="M62" s="23">
        <v>1292</v>
      </c>
      <c r="N62" s="23">
        <v>1900</v>
      </c>
      <c r="O62">
        <v>3</v>
      </c>
      <c r="P62" s="23"/>
      <c r="Q62" s="23"/>
      <c r="R62" s="23">
        <f t="shared" si="0"/>
        <v>0</v>
      </c>
      <c r="S62" t="s">
        <v>23</v>
      </c>
      <c r="T62" t="s">
        <v>35</v>
      </c>
      <c r="U62">
        <v>2043</v>
      </c>
      <c r="V62">
        <v>3043</v>
      </c>
      <c r="W62" t="s">
        <v>81</v>
      </c>
      <c r="X62" t="s">
        <v>26</v>
      </c>
      <c r="Y62">
        <v>21</v>
      </c>
    </row>
    <row r="63" spans="5:25">
      <c r="E63">
        <v>1062</v>
      </c>
      <c r="F63" t="s">
        <v>32</v>
      </c>
      <c r="H63" t="s">
        <v>79</v>
      </c>
      <c r="I63" t="s">
        <v>82</v>
      </c>
      <c r="J63" s="21">
        <v>44575</v>
      </c>
      <c r="M63" s="23">
        <v>1496</v>
      </c>
      <c r="N63" s="23">
        <v>2200</v>
      </c>
      <c r="O63">
        <v>1</v>
      </c>
      <c r="P63" s="23"/>
      <c r="Q63" s="23"/>
      <c r="R63" s="23">
        <f t="shared" si="0"/>
        <v>0</v>
      </c>
      <c r="S63" t="s">
        <v>23</v>
      </c>
      <c r="T63" t="s">
        <v>24</v>
      </c>
      <c r="U63">
        <v>2044</v>
      </c>
      <c r="V63">
        <v>3044</v>
      </c>
      <c r="W63" t="s">
        <v>83</v>
      </c>
      <c r="X63" t="s">
        <v>31</v>
      </c>
      <c r="Y63">
        <v>19</v>
      </c>
    </row>
    <row r="64" spans="5:25">
      <c r="E64">
        <v>1063</v>
      </c>
      <c r="F64" t="s">
        <v>40</v>
      </c>
      <c r="H64" t="s">
        <v>84</v>
      </c>
      <c r="I64" t="s">
        <v>85</v>
      </c>
      <c r="J64" s="21">
        <v>44576</v>
      </c>
      <c r="M64" s="23">
        <v>1340</v>
      </c>
      <c r="N64" s="23">
        <v>2000</v>
      </c>
      <c r="O64">
        <v>2</v>
      </c>
      <c r="P64" s="23"/>
      <c r="Q64" s="23"/>
      <c r="R64" s="23">
        <f t="shared" si="0"/>
        <v>0</v>
      </c>
      <c r="S64" t="s">
        <v>28</v>
      </c>
      <c r="T64" t="s">
        <v>29</v>
      </c>
      <c r="U64">
        <v>2045</v>
      </c>
      <c r="V64">
        <v>3045</v>
      </c>
      <c r="W64" t="s">
        <v>86</v>
      </c>
      <c r="X64" t="s">
        <v>26</v>
      </c>
      <c r="Y64">
        <v>36</v>
      </c>
    </row>
    <row r="65" spans="5:25">
      <c r="E65">
        <v>1064</v>
      </c>
      <c r="F65" t="s">
        <v>40</v>
      </c>
      <c r="H65" t="s">
        <v>84</v>
      </c>
      <c r="I65" t="s">
        <v>87</v>
      </c>
      <c r="J65" s="21">
        <v>44577</v>
      </c>
      <c r="M65" s="23">
        <v>1541</v>
      </c>
      <c r="N65" s="23">
        <v>2300</v>
      </c>
      <c r="O65">
        <v>1</v>
      </c>
      <c r="P65" s="23"/>
      <c r="Q65" s="23"/>
      <c r="R65" s="23">
        <f t="shared" si="0"/>
        <v>0</v>
      </c>
      <c r="S65" t="s">
        <v>23</v>
      </c>
      <c r="T65" t="s">
        <v>24</v>
      </c>
      <c r="U65">
        <v>2046</v>
      </c>
      <c r="V65">
        <v>3046</v>
      </c>
      <c r="W65" t="s">
        <v>88</v>
      </c>
      <c r="X65" t="s">
        <v>31</v>
      </c>
      <c r="Y65">
        <v>34</v>
      </c>
    </row>
    <row r="66" spans="5:25">
      <c r="E66">
        <v>1065</v>
      </c>
      <c r="F66" t="s">
        <v>20</v>
      </c>
      <c r="H66" t="s">
        <v>21</v>
      </c>
      <c r="I66" t="s">
        <v>22</v>
      </c>
      <c r="J66" s="21">
        <v>44562</v>
      </c>
      <c r="M66" s="23">
        <v>840</v>
      </c>
      <c r="N66" s="23">
        <v>1200</v>
      </c>
      <c r="O66">
        <v>2</v>
      </c>
      <c r="P66" s="23"/>
      <c r="Q66" s="23"/>
      <c r="R66" s="23">
        <f t="shared" si="0"/>
        <v>0</v>
      </c>
      <c r="S66" t="s">
        <v>23</v>
      </c>
      <c r="T66" t="s">
        <v>24</v>
      </c>
      <c r="U66">
        <v>2001</v>
      </c>
      <c r="V66">
        <v>3001</v>
      </c>
      <c r="W66" t="s">
        <v>25</v>
      </c>
      <c r="X66" t="s">
        <v>26</v>
      </c>
      <c r="Y66">
        <v>25</v>
      </c>
    </row>
    <row r="67" spans="5:25">
      <c r="E67">
        <v>1066</v>
      </c>
      <c r="F67" t="s">
        <v>20</v>
      </c>
      <c r="H67" t="s">
        <v>21</v>
      </c>
      <c r="I67" t="s">
        <v>27</v>
      </c>
      <c r="J67" s="21">
        <v>44563</v>
      </c>
      <c r="M67" s="23">
        <v>1050</v>
      </c>
      <c r="N67" s="23">
        <v>1500</v>
      </c>
      <c r="O67">
        <v>1</v>
      </c>
      <c r="P67" s="23"/>
      <c r="Q67" s="23"/>
      <c r="R67" s="23">
        <f t="shared" ref="R67:R130" si="1">P67+Q67</f>
        <v>0</v>
      </c>
      <c r="S67" t="s">
        <v>28</v>
      </c>
      <c r="T67" t="s">
        <v>29</v>
      </c>
      <c r="U67">
        <v>2002</v>
      </c>
      <c r="V67">
        <v>3002</v>
      </c>
      <c r="W67" t="s">
        <v>30</v>
      </c>
      <c r="X67" t="s">
        <v>31</v>
      </c>
      <c r="Y67">
        <v>22</v>
      </c>
    </row>
    <row r="68" spans="5:25">
      <c r="E68">
        <v>1067</v>
      </c>
      <c r="F68" t="s">
        <v>32</v>
      </c>
      <c r="H68" t="s">
        <v>33</v>
      </c>
      <c r="I68" t="s">
        <v>34</v>
      </c>
      <c r="J68" s="21">
        <v>44564</v>
      </c>
      <c r="M68" s="23">
        <v>1260</v>
      </c>
      <c r="N68" s="23">
        <v>1800</v>
      </c>
      <c r="O68">
        <v>3</v>
      </c>
      <c r="P68" s="23"/>
      <c r="Q68" s="23"/>
      <c r="R68" s="23">
        <f t="shared" si="1"/>
        <v>0</v>
      </c>
      <c r="S68" t="s">
        <v>23</v>
      </c>
      <c r="T68" t="s">
        <v>35</v>
      </c>
      <c r="U68">
        <v>2003</v>
      </c>
      <c r="V68">
        <v>3003</v>
      </c>
      <c r="W68" t="s">
        <v>36</v>
      </c>
      <c r="X68" t="s">
        <v>26</v>
      </c>
      <c r="Y68">
        <v>18</v>
      </c>
    </row>
    <row r="69" spans="5:25">
      <c r="E69">
        <v>1068</v>
      </c>
      <c r="F69" t="s">
        <v>32</v>
      </c>
      <c r="H69" t="s">
        <v>33</v>
      </c>
      <c r="I69" t="s">
        <v>38</v>
      </c>
      <c r="J69" s="21">
        <v>44565</v>
      </c>
      <c r="M69" s="23">
        <v>1470</v>
      </c>
      <c r="N69" s="23">
        <v>2100</v>
      </c>
      <c r="O69">
        <v>1</v>
      </c>
      <c r="P69" s="23"/>
      <c r="Q69" s="23"/>
      <c r="R69" s="23">
        <f t="shared" si="1"/>
        <v>0</v>
      </c>
      <c r="S69" t="s">
        <v>23</v>
      </c>
      <c r="T69" t="s">
        <v>24</v>
      </c>
      <c r="U69">
        <v>2004</v>
      </c>
      <c r="V69">
        <v>3004</v>
      </c>
      <c r="W69" t="s">
        <v>39</v>
      </c>
      <c r="X69" t="s">
        <v>31</v>
      </c>
      <c r="Y69">
        <v>16</v>
      </c>
    </row>
    <row r="70" spans="5:25">
      <c r="E70">
        <v>1069</v>
      </c>
      <c r="F70" t="s">
        <v>40</v>
      </c>
      <c r="H70" t="s">
        <v>41</v>
      </c>
      <c r="I70" t="s">
        <v>42</v>
      </c>
      <c r="J70" s="21">
        <v>44566</v>
      </c>
      <c r="M70" s="23">
        <v>897</v>
      </c>
      <c r="N70" s="23">
        <v>1300</v>
      </c>
      <c r="O70">
        <v>2</v>
      </c>
      <c r="P70" s="23"/>
      <c r="Q70" s="23"/>
      <c r="R70" s="23">
        <f t="shared" si="1"/>
        <v>0</v>
      </c>
      <c r="S70" t="s">
        <v>28</v>
      </c>
      <c r="T70" t="s">
        <v>29</v>
      </c>
      <c r="U70">
        <v>2005</v>
      </c>
      <c r="V70">
        <v>3005</v>
      </c>
      <c r="W70" t="s">
        <v>43</v>
      </c>
      <c r="X70" t="s">
        <v>26</v>
      </c>
      <c r="Y70">
        <v>27</v>
      </c>
    </row>
    <row r="71" spans="5:25">
      <c r="E71">
        <v>1070</v>
      </c>
      <c r="F71" t="s">
        <v>40</v>
      </c>
      <c r="H71" t="s">
        <v>41</v>
      </c>
      <c r="I71" t="s">
        <v>44</v>
      </c>
      <c r="J71" s="21">
        <v>44567</v>
      </c>
      <c r="M71" s="23">
        <v>1104</v>
      </c>
      <c r="N71" s="23">
        <v>1600</v>
      </c>
      <c r="O71">
        <v>1</v>
      </c>
      <c r="P71" s="23"/>
      <c r="Q71" s="23"/>
      <c r="R71" s="23">
        <f t="shared" si="1"/>
        <v>0</v>
      </c>
      <c r="S71" t="s">
        <v>23</v>
      </c>
      <c r="T71" t="s">
        <v>24</v>
      </c>
      <c r="U71">
        <v>2006</v>
      </c>
      <c r="V71">
        <v>3006</v>
      </c>
      <c r="W71" t="s">
        <v>45</v>
      </c>
      <c r="X71" t="s">
        <v>31</v>
      </c>
      <c r="Y71">
        <v>24</v>
      </c>
    </row>
    <row r="72" spans="5:25">
      <c r="E72">
        <v>1071</v>
      </c>
      <c r="F72" t="s">
        <v>20</v>
      </c>
      <c r="H72" t="s">
        <v>46</v>
      </c>
      <c r="I72" t="s">
        <v>47</v>
      </c>
      <c r="J72" s="21">
        <v>44568</v>
      </c>
      <c r="M72" s="23">
        <v>1496</v>
      </c>
      <c r="N72" s="23">
        <v>2200</v>
      </c>
      <c r="O72">
        <v>2</v>
      </c>
      <c r="P72" s="23"/>
      <c r="Q72" s="23"/>
      <c r="R72" s="23">
        <f t="shared" si="1"/>
        <v>0</v>
      </c>
      <c r="S72" t="s">
        <v>28</v>
      </c>
      <c r="T72" t="s">
        <v>24</v>
      </c>
      <c r="U72">
        <v>2007</v>
      </c>
      <c r="V72">
        <v>3007</v>
      </c>
      <c r="W72" t="s">
        <v>48</v>
      </c>
      <c r="X72" t="s">
        <v>26</v>
      </c>
      <c r="Y72">
        <v>29</v>
      </c>
    </row>
    <row r="73" spans="5:25">
      <c r="E73">
        <v>1072</v>
      </c>
      <c r="F73" t="s">
        <v>20</v>
      </c>
      <c r="H73" t="s">
        <v>46</v>
      </c>
      <c r="I73" t="s">
        <v>49</v>
      </c>
      <c r="J73" s="21">
        <v>44569</v>
      </c>
      <c r="M73" s="23">
        <v>1700</v>
      </c>
      <c r="N73" s="23">
        <v>2500</v>
      </c>
      <c r="O73">
        <v>1</v>
      </c>
      <c r="P73" s="23"/>
      <c r="Q73" s="23"/>
      <c r="R73" s="23">
        <f t="shared" si="1"/>
        <v>0</v>
      </c>
      <c r="S73" t="s">
        <v>23</v>
      </c>
      <c r="T73" t="s">
        <v>29</v>
      </c>
      <c r="U73">
        <v>2008</v>
      </c>
      <c r="V73">
        <v>3008</v>
      </c>
      <c r="W73" t="s">
        <v>50</v>
      </c>
      <c r="X73" t="s">
        <v>31</v>
      </c>
      <c r="Y73">
        <v>27</v>
      </c>
    </row>
    <row r="74" spans="5:25">
      <c r="E74">
        <v>1073</v>
      </c>
      <c r="F74" t="s">
        <v>20</v>
      </c>
      <c r="H74" t="s">
        <v>51</v>
      </c>
      <c r="I74" t="s">
        <v>52</v>
      </c>
      <c r="J74" s="21">
        <v>44582</v>
      </c>
      <c r="M74" s="23">
        <v>737</v>
      </c>
      <c r="N74" s="23">
        <v>1100</v>
      </c>
      <c r="O74">
        <v>2</v>
      </c>
      <c r="P74" s="23"/>
      <c r="Q74" s="23"/>
      <c r="R74" s="23">
        <f t="shared" si="1"/>
        <v>0</v>
      </c>
      <c r="S74" t="s">
        <v>23</v>
      </c>
      <c r="T74" t="s">
        <v>24</v>
      </c>
      <c r="U74">
        <v>2021</v>
      </c>
      <c r="V74">
        <v>3021</v>
      </c>
      <c r="W74" t="s">
        <v>53</v>
      </c>
      <c r="X74" t="s">
        <v>26</v>
      </c>
      <c r="Y74">
        <v>24</v>
      </c>
    </row>
    <row r="75" spans="5:25">
      <c r="E75">
        <v>1074</v>
      </c>
      <c r="F75" t="s">
        <v>20</v>
      </c>
      <c r="H75" t="s">
        <v>51</v>
      </c>
      <c r="I75" t="s">
        <v>54</v>
      </c>
      <c r="J75" s="21">
        <v>44583</v>
      </c>
      <c r="M75" s="23">
        <v>938</v>
      </c>
      <c r="N75" s="23">
        <v>1400</v>
      </c>
      <c r="O75">
        <v>1</v>
      </c>
      <c r="P75" s="23"/>
      <c r="Q75" s="23"/>
      <c r="R75" s="23">
        <f t="shared" si="1"/>
        <v>0</v>
      </c>
      <c r="S75" t="s">
        <v>28</v>
      </c>
      <c r="T75" t="s">
        <v>29</v>
      </c>
      <c r="U75">
        <v>2022</v>
      </c>
      <c r="V75">
        <v>3022</v>
      </c>
      <c r="W75" t="s">
        <v>55</v>
      </c>
      <c r="X75" t="s">
        <v>31</v>
      </c>
      <c r="Y75">
        <v>21</v>
      </c>
    </row>
    <row r="76" spans="5:25">
      <c r="E76">
        <v>1075</v>
      </c>
      <c r="F76" t="s">
        <v>32</v>
      </c>
      <c r="H76" t="s">
        <v>57</v>
      </c>
      <c r="I76" t="s">
        <v>58</v>
      </c>
      <c r="J76" s="21">
        <v>44584</v>
      </c>
      <c r="M76" s="23">
        <v>1190</v>
      </c>
      <c r="N76" s="23">
        <v>1700</v>
      </c>
      <c r="O76">
        <v>3</v>
      </c>
      <c r="P76" s="23"/>
      <c r="Q76" s="23"/>
      <c r="R76" s="23">
        <f t="shared" si="1"/>
        <v>0</v>
      </c>
      <c r="S76" t="s">
        <v>23</v>
      </c>
      <c r="T76" t="s">
        <v>35</v>
      </c>
      <c r="U76">
        <v>2023</v>
      </c>
      <c r="V76">
        <v>3023</v>
      </c>
      <c r="W76" t="s">
        <v>59</v>
      </c>
      <c r="X76" t="s">
        <v>26</v>
      </c>
      <c r="Y76">
        <v>20</v>
      </c>
    </row>
    <row r="77" spans="5:25">
      <c r="E77">
        <v>1076</v>
      </c>
      <c r="F77" t="s">
        <v>32</v>
      </c>
      <c r="H77" t="s">
        <v>57</v>
      </c>
      <c r="I77" t="s">
        <v>61</v>
      </c>
      <c r="J77" s="21">
        <v>44585</v>
      </c>
      <c r="M77" s="23">
        <v>1400</v>
      </c>
      <c r="N77" s="23">
        <v>2000</v>
      </c>
      <c r="O77">
        <v>1</v>
      </c>
      <c r="P77" s="23"/>
      <c r="Q77" s="23"/>
      <c r="R77" s="23">
        <f t="shared" si="1"/>
        <v>0</v>
      </c>
      <c r="S77" t="s">
        <v>23</v>
      </c>
      <c r="T77" t="s">
        <v>24</v>
      </c>
      <c r="U77">
        <v>2024</v>
      </c>
      <c r="V77">
        <v>3024</v>
      </c>
      <c r="W77" t="s">
        <v>62</v>
      </c>
      <c r="X77" t="s">
        <v>31</v>
      </c>
      <c r="Y77">
        <v>18</v>
      </c>
    </row>
    <row r="78" spans="5:25">
      <c r="E78">
        <v>1077</v>
      </c>
      <c r="F78" t="s">
        <v>40</v>
      </c>
      <c r="H78" t="s">
        <v>64</v>
      </c>
      <c r="I78" t="s">
        <v>65</v>
      </c>
      <c r="J78" s="21">
        <v>44586</v>
      </c>
      <c r="M78" s="23">
        <v>975</v>
      </c>
      <c r="N78" s="23">
        <v>1500</v>
      </c>
      <c r="O78">
        <v>2</v>
      </c>
      <c r="P78" s="23"/>
      <c r="Q78" s="23"/>
      <c r="R78" s="23">
        <f t="shared" si="1"/>
        <v>0</v>
      </c>
      <c r="S78" t="s">
        <v>28</v>
      </c>
      <c r="T78" t="s">
        <v>29</v>
      </c>
      <c r="U78">
        <v>2025</v>
      </c>
      <c r="V78">
        <v>3025</v>
      </c>
      <c r="W78" t="s">
        <v>66</v>
      </c>
      <c r="X78" t="s">
        <v>26</v>
      </c>
      <c r="Y78">
        <v>28</v>
      </c>
    </row>
    <row r="79" spans="5:25">
      <c r="E79">
        <v>1078</v>
      </c>
      <c r="F79" t="s">
        <v>40</v>
      </c>
      <c r="H79" t="s">
        <v>64</v>
      </c>
      <c r="I79" t="s">
        <v>67</v>
      </c>
      <c r="J79" s="21">
        <v>44587</v>
      </c>
      <c r="M79" s="23">
        <v>1170</v>
      </c>
      <c r="N79" s="23">
        <v>1800</v>
      </c>
      <c r="O79">
        <v>1</v>
      </c>
      <c r="P79" s="23"/>
      <c r="Q79" s="23"/>
      <c r="R79" s="23">
        <f t="shared" si="1"/>
        <v>0</v>
      </c>
      <c r="S79" t="s">
        <v>23</v>
      </c>
      <c r="T79" t="s">
        <v>24</v>
      </c>
      <c r="U79">
        <v>2026</v>
      </c>
      <c r="V79">
        <v>3026</v>
      </c>
      <c r="W79" t="s">
        <v>68</v>
      </c>
      <c r="X79" t="s">
        <v>31</v>
      </c>
      <c r="Y79">
        <v>26</v>
      </c>
    </row>
    <row r="80" spans="5:25">
      <c r="E80">
        <v>1079</v>
      </c>
      <c r="F80" t="s">
        <v>20</v>
      </c>
      <c r="H80" t="s">
        <v>69</v>
      </c>
      <c r="I80" t="s">
        <v>70</v>
      </c>
      <c r="J80" s="21">
        <v>44588</v>
      </c>
      <c r="M80" s="23">
        <v>1656</v>
      </c>
      <c r="N80" s="23">
        <v>2300</v>
      </c>
      <c r="O80">
        <v>2</v>
      </c>
      <c r="P80" s="23"/>
      <c r="Q80" s="23"/>
      <c r="R80" s="23">
        <f t="shared" si="1"/>
        <v>0</v>
      </c>
      <c r="S80" t="s">
        <v>28</v>
      </c>
      <c r="T80" t="s">
        <v>24</v>
      </c>
      <c r="U80">
        <v>2027</v>
      </c>
      <c r="V80">
        <v>3027</v>
      </c>
      <c r="W80" t="s">
        <v>71</v>
      </c>
      <c r="X80" t="s">
        <v>26</v>
      </c>
      <c r="Y80">
        <v>30</v>
      </c>
    </row>
    <row r="81" spans="5:25">
      <c r="E81">
        <v>1080</v>
      </c>
      <c r="F81" t="s">
        <v>20</v>
      </c>
      <c r="H81" t="s">
        <v>69</v>
      </c>
      <c r="I81" t="s">
        <v>72</v>
      </c>
      <c r="J81" s="21">
        <v>44589</v>
      </c>
      <c r="M81" s="23">
        <v>1872</v>
      </c>
      <c r="N81" s="23">
        <v>2600</v>
      </c>
      <c r="O81">
        <v>1</v>
      </c>
      <c r="P81" s="23"/>
      <c r="Q81" s="23"/>
      <c r="R81" s="23">
        <f t="shared" si="1"/>
        <v>0</v>
      </c>
      <c r="S81" t="s">
        <v>23</v>
      </c>
      <c r="T81" t="s">
        <v>29</v>
      </c>
      <c r="U81">
        <v>2028</v>
      </c>
      <c r="V81">
        <v>3028</v>
      </c>
      <c r="W81" t="s">
        <v>73</v>
      </c>
      <c r="X81" t="s">
        <v>31</v>
      </c>
      <c r="Y81">
        <v>28</v>
      </c>
    </row>
    <row r="82" spans="5:25">
      <c r="E82">
        <v>1081</v>
      </c>
      <c r="F82" t="s">
        <v>32</v>
      </c>
      <c r="H82" t="s">
        <v>33</v>
      </c>
      <c r="I82" t="s">
        <v>38</v>
      </c>
      <c r="J82" s="21">
        <v>44961</v>
      </c>
      <c r="M82" s="23">
        <v>1470</v>
      </c>
      <c r="N82" s="23">
        <v>2100</v>
      </c>
      <c r="O82">
        <v>1</v>
      </c>
      <c r="P82" s="23"/>
      <c r="Q82" s="23"/>
      <c r="R82" s="23">
        <f t="shared" si="1"/>
        <v>0</v>
      </c>
      <c r="S82" t="s">
        <v>23</v>
      </c>
      <c r="T82" t="s">
        <v>24</v>
      </c>
      <c r="U82">
        <v>2004</v>
      </c>
      <c r="V82">
        <v>3004</v>
      </c>
      <c r="W82" t="s">
        <v>39</v>
      </c>
      <c r="X82" t="s">
        <v>31</v>
      </c>
      <c r="Y82">
        <v>16</v>
      </c>
    </row>
    <row r="83" spans="5:25">
      <c r="E83">
        <v>1082</v>
      </c>
      <c r="F83" t="s">
        <v>40</v>
      </c>
      <c r="H83" t="s">
        <v>41</v>
      </c>
      <c r="I83" t="s">
        <v>42</v>
      </c>
      <c r="J83" s="21">
        <v>44962</v>
      </c>
      <c r="M83" s="23">
        <v>897</v>
      </c>
      <c r="N83" s="23">
        <v>1300</v>
      </c>
      <c r="O83">
        <v>2</v>
      </c>
      <c r="P83" s="23"/>
      <c r="Q83" s="23"/>
      <c r="R83" s="23">
        <f t="shared" si="1"/>
        <v>0</v>
      </c>
      <c r="S83" t="s">
        <v>28</v>
      </c>
      <c r="T83" t="s">
        <v>29</v>
      </c>
      <c r="U83">
        <v>2005</v>
      </c>
      <c r="V83">
        <v>3005</v>
      </c>
      <c r="W83" t="s">
        <v>43</v>
      </c>
      <c r="X83" t="s">
        <v>26</v>
      </c>
      <c r="Y83">
        <v>27</v>
      </c>
    </row>
    <row r="84" spans="5:25">
      <c r="E84">
        <v>1083</v>
      </c>
      <c r="F84" t="s">
        <v>40</v>
      </c>
      <c r="H84" t="s">
        <v>41</v>
      </c>
      <c r="I84" t="s">
        <v>44</v>
      </c>
      <c r="J84" s="21">
        <v>44963</v>
      </c>
      <c r="M84" s="23">
        <v>1104</v>
      </c>
      <c r="N84" s="23">
        <v>1600</v>
      </c>
      <c r="O84">
        <v>1</v>
      </c>
      <c r="P84" s="23"/>
      <c r="Q84" s="23"/>
      <c r="R84" s="23">
        <f t="shared" si="1"/>
        <v>0</v>
      </c>
      <c r="S84" t="s">
        <v>23</v>
      </c>
      <c r="T84" t="s">
        <v>24</v>
      </c>
      <c r="U84">
        <v>2006</v>
      </c>
      <c r="V84">
        <v>3006</v>
      </c>
      <c r="W84" t="s">
        <v>45</v>
      </c>
      <c r="X84" t="s">
        <v>31</v>
      </c>
      <c r="Y84">
        <v>24</v>
      </c>
    </row>
    <row r="85" spans="5:25">
      <c r="E85">
        <v>1084</v>
      </c>
      <c r="F85" t="s">
        <v>20</v>
      </c>
      <c r="H85" t="s">
        <v>46</v>
      </c>
      <c r="I85" t="s">
        <v>47</v>
      </c>
      <c r="J85" s="21">
        <v>44964</v>
      </c>
      <c r="M85" s="23">
        <v>1496</v>
      </c>
      <c r="N85" s="23">
        <v>2200</v>
      </c>
      <c r="O85">
        <v>2</v>
      </c>
      <c r="P85" s="23"/>
      <c r="Q85" s="23"/>
      <c r="R85" s="23">
        <f t="shared" si="1"/>
        <v>0</v>
      </c>
      <c r="S85" t="s">
        <v>28</v>
      </c>
      <c r="T85" t="s">
        <v>24</v>
      </c>
      <c r="U85">
        <v>2007</v>
      </c>
      <c r="V85">
        <v>3007</v>
      </c>
      <c r="W85" t="s">
        <v>48</v>
      </c>
      <c r="X85" t="s">
        <v>26</v>
      </c>
      <c r="Y85">
        <v>29</v>
      </c>
    </row>
    <row r="86" spans="5:25">
      <c r="E86">
        <v>1085</v>
      </c>
      <c r="F86" t="s">
        <v>20</v>
      </c>
      <c r="H86" t="s">
        <v>46</v>
      </c>
      <c r="I86" t="s">
        <v>49</v>
      </c>
      <c r="J86" s="21">
        <v>44965</v>
      </c>
      <c r="M86" s="23">
        <v>1700</v>
      </c>
      <c r="N86" s="23">
        <v>2500</v>
      </c>
      <c r="O86">
        <v>1</v>
      </c>
      <c r="P86" s="23"/>
      <c r="Q86" s="23"/>
      <c r="R86" s="23">
        <f t="shared" si="1"/>
        <v>0</v>
      </c>
      <c r="S86" t="s">
        <v>23</v>
      </c>
      <c r="T86" t="s">
        <v>29</v>
      </c>
      <c r="U86">
        <v>2008</v>
      </c>
      <c r="V86">
        <v>3008</v>
      </c>
      <c r="W86" t="s">
        <v>50</v>
      </c>
      <c r="X86" t="s">
        <v>31</v>
      </c>
      <c r="Y86">
        <v>27</v>
      </c>
    </row>
    <row r="87" spans="5:25">
      <c r="E87">
        <v>1086</v>
      </c>
      <c r="F87" t="s">
        <v>20</v>
      </c>
      <c r="H87" t="s">
        <v>51</v>
      </c>
      <c r="I87" t="s">
        <v>52</v>
      </c>
      <c r="J87" s="21">
        <v>44978</v>
      </c>
      <c r="M87" s="23">
        <v>737</v>
      </c>
      <c r="N87" s="23">
        <v>1100</v>
      </c>
      <c r="O87">
        <v>2</v>
      </c>
      <c r="P87" s="23"/>
      <c r="Q87" s="23"/>
      <c r="R87" s="23">
        <f t="shared" si="1"/>
        <v>0</v>
      </c>
      <c r="S87" t="s">
        <v>23</v>
      </c>
      <c r="T87" t="s">
        <v>24</v>
      </c>
      <c r="U87">
        <v>2021</v>
      </c>
      <c r="V87">
        <v>3021</v>
      </c>
      <c r="W87" t="s">
        <v>53</v>
      </c>
      <c r="X87" t="s">
        <v>26</v>
      </c>
      <c r="Y87">
        <v>24</v>
      </c>
    </row>
    <row r="88" spans="5:25">
      <c r="E88">
        <v>1087</v>
      </c>
      <c r="F88" t="s">
        <v>20</v>
      </c>
      <c r="H88" t="s">
        <v>51</v>
      </c>
      <c r="I88" t="s">
        <v>54</v>
      </c>
      <c r="J88" s="21">
        <v>44979</v>
      </c>
      <c r="M88" s="23">
        <v>938</v>
      </c>
      <c r="N88" s="23">
        <v>1400</v>
      </c>
      <c r="O88">
        <v>1</v>
      </c>
      <c r="P88" s="23"/>
      <c r="Q88" s="23"/>
      <c r="R88" s="23">
        <f t="shared" si="1"/>
        <v>0</v>
      </c>
      <c r="S88" t="s">
        <v>28</v>
      </c>
      <c r="T88" t="s">
        <v>29</v>
      </c>
      <c r="U88">
        <v>2022</v>
      </c>
      <c r="V88">
        <v>3022</v>
      </c>
      <c r="W88" t="s">
        <v>55</v>
      </c>
      <c r="X88" t="s">
        <v>31</v>
      </c>
      <c r="Y88">
        <v>21</v>
      </c>
    </row>
    <row r="89" spans="5:25">
      <c r="E89">
        <v>1088</v>
      </c>
      <c r="F89" t="s">
        <v>32</v>
      </c>
      <c r="H89" t="s">
        <v>57</v>
      </c>
      <c r="I89" t="s">
        <v>58</v>
      </c>
      <c r="J89" s="21">
        <v>44980</v>
      </c>
      <c r="M89" s="23">
        <v>1190</v>
      </c>
      <c r="N89" s="23">
        <v>1700</v>
      </c>
      <c r="O89">
        <v>3</v>
      </c>
      <c r="P89" s="23"/>
      <c r="Q89" s="23"/>
      <c r="R89" s="23">
        <f t="shared" si="1"/>
        <v>0</v>
      </c>
      <c r="S89" t="s">
        <v>23</v>
      </c>
      <c r="T89" t="s">
        <v>35</v>
      </c>
      <c r="U89">
        <v>2023</v>
      </c>
      <c r="V89">
        <v>3023</v>
      </c>
      <c r="W89" t="s">
        <v>59</v>
      </c>
      <c r="X89" t="s">
        <v>26</v>
      </c>
      <c r="Y89">
        <v>20</v>
      </c>
    </row>
    <row r="90" spans="5:25">
      <c r="E90">
        <v>1089</v>
      </c>
      <c r="F90" t="s">
        <v>32</v>
      </c>
      <c r="H90" t="s">
        <v>57</v>
      </c>
      <c r="I90" t="s">
        <v>61</v>
      </c>
      <c r="J90" s="21">
        <v>44981</v>
      </c>
      <c r="M90" s="23">
        <v>1400</v>
      </c>
      <c r="N90" s="23">
        <v>2000</v>
      </c>
      <c r="O90">
        <v>1</v>
      </c>
      <c r="P90" s="23"/>
      <c r="Q90" s="23"/>
      <c r="R90" s="23">
        <f t="shared" si="1"/>
        <v>0</v>
      </c>
      <c r="S90" t="s">
        <v>23</v>
      </c>
      <c r="T90" t="s">
        <v>24</v>
      </c>
      <c r="U90">
        <v>2024</v>
      </c>
      <c r="V90">
        <v>3024</v>
      </c>
      <c r="W90" t="s">
        <v>62</v>
      </c>
      <c r="X90" t="s">
        <v>31</v>
      </c>
      <c r="Y90">
        <v>18</v>
      </c>
    </row>
    <row r="91" spans="5:25">
      <c r="E91">
        <v>1090</v>
      </c>
      <c r="F91" t="s">
        <v>40</v>
      </c>
      <c r="H91" t="s">
        <v>64</v>
      </c>
      <c r="I91" t="s">
        <v>65</v>
      </c>
      <c r="J91" s="21">
        <v>44982</v>
      </c>
      <c r="M91" s="23">
        <v>975</v>
      </c>
      <c r="N91" s="23">
        <v>1500</v>
      </c>
      <c r="O91">
        <v>2</v>
      </c>
      <c r="P91" s="23"/>
      <c r="Q91" s="23"/>
      <c r="R91" s="23">
        <f t="shared" si="1"/>
        <v>0</v>
      </c>
      <c r="S91" t="s">
        <v>28</v>
      </c>
      <c r="T91" t="s">
        <v>29</v>
      </c>
      <c r="U91">
        <v>2025</v>
      </c>
      <c r="V91">
        <v>3025</v>
      </c>
      <c r="W91" t="s">
        <v>66</v>
      </c>
      <c r="X91" t="s">
        <v>26</v>
      </c>
      <c r="Y91">
        <v>28</v>
      </c>
    </row>
    <row r="92" spans="5:25">
      <c r="E92">
        <v>1091</v>
      </c>
      <c r="F92" t="s">
        <v>40</v>
      </c>
      <c r="H92" t="s">
        <v>64</v>
      </c>
      <c r="I92" t="s">
        <v>67</v>
      </c>
      <c r="J92" s="21">
        <v>44983</v>
      </c>
      <c r="M92" s="23">
        <v>1170</v>
      </c>
      <c r="N92" s="23">
        <v>1800</v>
      </c>
      <c r="O92">
        <v>1</v>
      </c>
      <c r="P92" s="23"/>
      <c r="Q92" s="23"/>
      <c r="R92" s="23">
        <f t="shared" si="1"/>
        <v>0</v>
      </c>
      <c r="S92" t="s">
        <v>23</v>
      </c>
      <c r="T92" t="s">
        <v>24</v>
      </c>
      <c r="U92">
        <v>2026</v>
      </c>
      <c r="V92">
        <v>3026</v>
      </c>
      <c r="W92" t="s">
        <v>68</v>
      </c>
      <c r="X92" t="s">
        <v>31</v>
      </c>
      <c r="Y92">
        <v>26</v>
      </c>
    </row>
    <row r="93" spans="5:25">
      <c r="E93">
        <v>1092</v>
      </c>
      <c r="F93" t="s">
        <v>20</v>
      </c>
      <c r="H93" t="s">
        <v>69</v>
      </c>
      <c r="I93" t="s">
        <v>70</v>
      </c>
      <c r="J93" s="21">
        <v>44984</v>
      </c>
      <c r="M93" s="23">
        <v>1656</v>
      </c>
      <c r="N93" s="23">
        <v>2300</v>
      </c>
      <c r="O93">
        <v>2</v>
      </c>
      <c r="P93" s="23"/>
      <c r="Q93" s="23"/>
      <c r="R93" s="23">
        <f t="shared" si="1"/>
        <v>0</v>
      </c>
      <c r="S93" t="s">
        <v>28</v>
      </c>
      <c r="T93" t="s">
        <v>24</v>
      </c>
      <c r="U93">
        <v>2027</v>
      </c>
      <c r="V93">
        <v>3027</v>
      </c>
      <c r="W93" t="s">
        <v>71</v>
      </c>
      <c r="X93" t="s">
        <v>26</v>
      </c>
      <c r="Y93">
        <v>30</v>
      </c>
    </row>
    <row r="94" spans="5:25">
      <c r="E94">
        <v>1093</v>
      </c>
      <c r="F94" t="s">
        <v>20</v>
      </c>
      <c r="H94" t="s">
        <v>69</v>
      </c>
      <c r="I94" t="s">
        <v>72</v>
      </c>
      <c r="J94" s="21">
        <v>44985</v>
      </c>
      <c r="M94" s="23">
        <v>1872</v>
      </c>
      <c r="N94" s="23">
        <v>2600</v>
      </c>
      <c r="O94">
        <v>1</v>
      </c>
      <c r="P94" s="23"/>
      <c r="Q94" s="23"/>
      <c r="R94" s="23">
        <f t="shared" si="1"/>
        <v>0</v>
      </c>
      <c r="S94" t="s">
        <v>23</v>
      </c>
      <c r="T94" t="s">
        <v>29</v>
      </c>
      <c r="U94">
        <v>2028</v>
      </c>
      <c r="V94">
        <v>3028</v>
      </c>
      <c r="W94" t="s">
        <v>73</v>
      </c>
      <c r="X94" t="s">
        <v>31</v>
      </c>
      <c r="Y94">
        <v>28</v>
      </c>
    </row>
    <row r="95" spans="5:25">
      <c r="E95">
        <v>1094</v>
      </c>
      <c r="F95" t="s">
        <v>32</v>
      </c>
      <c r="H95" t="s">
        <v>33</v>
      </c>
      <c r="I95" t="s">
        <v>38</v>
      </c>
      <c r="J95" s="21">
        <v>44930</v>
      </c>
      <c r="M95" s="23">
        <v>1470</v>
      </c>
      <c r="N95" s="23">
        <v>2100</v>
      </c>
      <c r="O95">
        <v>1</v>
      </c>
      <c r="P95" s="23"/>
      <c r="Q95" s="23"/>
      <c r="R95" s="23">
        <f t="shared" si="1"/>
        <v>0</v>
      </c>
      <c r="S95" t="s">
        <v>23</v>
      </c>
      <c r="T95" t="s">
        <v>24</v>
      </c>
      <c r="U95">
        <v>2004</v>
      </c>
      <c r="V95">
        <v>3004</v>
      </c>
      <c r="W95" t="s">
        <v>39</v>
      </c>
      <c r="X95" t="s">
        <v>31</v>
      </c>
      <c r="Y95">
        <v>16</v>
      </c>
    </row>
    <row r="96" spans="5:25">
      <c r="E96">
        <v>1095</v>
      </c>
      <c r="F96" t="s">
        <v>40</v>
      </c>
      <c r="H96" t="s">
        <v>41</v>
      </c>
      <c r="I96" t="s">
        <v>42</v>
      </c>
      <c r="J96" s="21">
        <v>44931</v>
      </c>
      <c r="M96" s="23">
        <v>897</v>
      </c>
      <c r="N96" s="23">
        <v>1300</v>
      </c>
      <c r="O96">
        <v>2</v>
      </c>
      <c r="P96" s="23"/>
      <c r="Q96" s="23"/>
      <c r="R96" s="23">
        <f t="shared" si="1"/>
        <v>0</v>
      </c>
      <c r="S96" t="s">
        <v>28</v>
      </c>
      <c r="T96" t="s">
        <v>29</v>
      </c>
      <c r="U96">
        <v>2005</v>
      </c>
      <c r="V96">
        <v>3005</v>
      </c>
      <c r="W96" t="s">
        <v>43</v>
      </c>
      <c r="X96" t="s">
        <v>26</v>
      </c>
      <c r="Y96">
        <v>27</v>
      </c>
    </row>
    <row r="97" spans="5:25">
      <c r="E97">
        <v>1096</v>
      </c>
      <c r="F97" t="s">
        <v>40</v>
      </c>
      <c r="H97" t="s">
        <v>41</v>
      </c>
      <c r="I97" t="s">
        <v>44</v>
      </c>
      <c r="J97" s="21">
        <v>44932</v>
      </c>
      <c r="M97" s="23">
        <v>1104</v>
      </c>
      <c r="N97" s="23">
        <v>1600</v>
      </c>
      <c r="O97">
        <v>1</v>
      </c>
      <c r="P97" s="23"/>
      <c r="Q97" s="23"/>
      <c r="R97" s="23">
        <f t="shared" si="1"/>
        <v>0</v>
      </c>
      <c r="S97" t="s">
        <v>23</v>
      </c>
      <c r="T97" t="s">
        <v>24</v>
      </c>
      <c r="U97">
        <v>2006</v>
      </c>
      <c r="V97">
        <v>3006</v>
      </c>
      <c r="W97" t="s">
        <v>45</v>
      </c>
      <c r="X97" t="s">
        <v>31</v>
      </c>
      <c r="Y97">
        <v>24</v>
      </c>
    </row>
    <row r="98" spans="5:25">
      <c r="E98">
        <v>1097</v>
      </c>
      <c r="F98" t="s">
        <v>20</v>
      </c>
      <c r="H98" t="s">
        <v>46</v>
      </c>
      <c r="I98" t="s">
        <v>47</v>
      </c>
      <c r="J98" s="21">
        <v>44933</v>
      </c>
      <c r="M98" s="23">
        <v>1496</v>
      </c>
      <c r="N98" s="23">
        <v>2200</v>
      </c>
      <c r="O98">
        <v>2</v>
      </c>
      <c r="P98" s="23"/>
      <c r="Q98" s="23"/>
      <c r="R98" s="23">
        <f t="shared" si="1"/>
        <v>0</v>
      </c>
      <c r="S98" t="s">
        <v>28</v>
      </c>
      <c r="T98" t="s">
        <v>24</v>
      </c>
      <c r="U98">
        <v>2007</v>
      </c>
      <c r="V98">
        <v>3007</v>
      </c>
      <c r="W98" t="s">
        <v>48</v>
      </c>
      <c r="X98" t="s">
        <v>26</v>
      </c>
      <c r="Y98">
        <v>29</v>
      </c>
    </row>
    <row r="99" spans="5:25">
      <c r="E99">
        <v>1098</v>
      </c>
      <c r="F99" t="s">
        <v>20</v>
      </c>
      <c r="H99" t="s">
        <v>46</v>
      </c>
      <c r="I99" t="s">
        <v>49</v>
      </c>
      <c r="J99" s="21">
        <v>44934</v>
      </c>
      <c r="M99" s="23">
        <v>1700</v>
      </c>
      <c r="N99" s="23">
        <v>2500</v>
      </c>
      <c r="O99">
        <v>1</v>
      </c>
      <c r="P99" s="23"/>
      <c r="Q99" s="23"/>
      <c r="R99" s="23">
        <f t="shared" si="1"/>
        <v>0</v>
      </c>
      <c r="S99" t="s">
        <v>23</v>
      </c>
      <c r="T99" t="s">
        <v>29</v>
      </c>
      <c r="U99">
        <v>2008</v>
      </c>
      <c r="V99">
        <v>3008</v>
      </c>
      <c r="W99" t="s">
        <v>50</v>
      </c>
      <c r="X99" t="s">
        <v>31</v>
      </c>
      <c r="Y99">
        <v>27</v>
      </c>
    </row>
    <row r="100" spans="5:25">
      <c r="E100">
        <v>1099</v>
      </c>
      <c r="F100" t="s">
        <v>20</v>
      </c>
      <c r="H100" t="s">
        <v>51</v>
      </c>
      <c r="I100" t="s">
        <v>52</v>
      </c>
      <c r="J100" s="21">
        <v>44947</v>
      </c>
      <c r="M100" s="23">
        <v>737</v>
      </c>
      <c r="N100" s="23">
        <v>1100</v>
      </c>
      <c r="O100">
        <v>2</v>
      </c>
      <c r="P100" s="23"/>
      <c r="Q100" s="23"/>
      <c r="R100" s="23">
        <f t="shared" si="1"/>
        <v>0</v>
      </c>
      <c r="S100" t="s">
        <v>23</v>
      </c>
      <c r="T100" t="s">
        <v>24</v>
      </c>
      <c r="U100">
        <v>2021</v>
      </c>
      <c r="V100">
        <v>3021</v>
      </c>
      <c r="W100" t="s">
        <v>53</v>
      </c>
      <c r="X100" t="s">
        <v>26</v>
      </c>
      <c r="Y100">
        <v>24</v>
      </c>
    </row>
    <row r="101" spans="5:25">
      <c r="E101">
        <v>1100</v>
      </c>
      <c r="F101" t="s">
        <v>20</v>
      </c>
      <c r="H101" t="s">
        <v>51</v>
      </c>
      <c r="I101" t="s">
        <v>54</v>
      </c>
      <c r="J101" s="21">
        <v>44948</v>
      </c>
      <c r="M101" s="23">
        <v>938</v>
      </c>
      <c r="N101" s="23">
        <v>1400</v>
      </c>
      <c r="O101">
        <v>1</v>
      </c>
      <c r="P101" s="23"/>
      <c r="Q101" s="23"/>
      <c r="R101" s="23">
        <f t="shared" si="1"/>
        <v>0</v>
      </c>
      <c r="S101" t="s">
        <v>28</v>
      </c>
      <c r="T101" t="s">
        <v>29</v>
      </c>
      <c r="U101">
        <v>2022</v>
      </c>
      <c r="V101">
        <v>3022</v>
      </c>
      <c r="W101" t="s">
        <v>55</v>
      </c>
      <c r="X101" t="s">
        <v>31</v>
      </c>
      <c r="Y101">
        <v>21</v>
      </c>
    </row>
    <row r="102" spans="5:25">
      <c r="E102">
        <v>1101</v>
      </c>
      <c r="F102" t="s">
        <v>32</v>
      </c>
      <c r="H102" t="s">
        <v>57</v>
      </c>
      <c r="I102" t="s">
        <v>58</v>
      </c>
      <c r="J102" s="21">
        <v>44949</v>
      </c>
      <c r="M102" s="23">
        <v>1190</v>
      </c>
      <c r="N102" s="23">
        <v>1700</v>
      </c>
      <c r="O102">
        <v>3</v>
      </c>
      <c r="P102" s="23"/>
      <c r="Q102" s="23"/>
      <c r="R102" s="23">
        <f t="shared" si="1"/>
        <v>0</v>
      </c>
      <c r="S102" t="s">
        <v>23</v>
      </c>
      <c r="T102" t="s">
        <v>35</v>
      </c>
      <c r="U102">
        <v>2023</v>
      </c>
      <c r="V102">
        <v>3023</v>
      </c>
      <c r="W102" t="s">
        <v>59</v>
      </c>
      <c r="X102" t="s">
        <v>26</v>
      </c>
      <c r="Y102">
        <v>20</v>
      </c>
    </row>
    <row r="103" spans="5:25">
      <c r="E103">
        <v>1102</v>
      </c>
      <c r="F103" t="s">
        <v>32</v>
      </c>
      <c r="H103" t="s">
        <v>57</v>
      </c>
      <c r="I103" t="s">
        <v>61</v>
      </c>
      <c r="J103" s="21">
        <v>44950</v>
      </c>
      <c r="M103" s="23">
        <v>1400</v>
      </c>
      <c r="N103" s="23">
        <v>2000</v>
      </c>
      <c r="O103">
        <v>1</v>
      </c>
      <c r="P103" s="23"/>
      <c r="Q103" s="23"/>
      <c r="R103" s="23">
        <f t="shared" si="1"/>
        <v>0</v>
      </c>
      <c r="S103" t="s">
        <v>23</v>
      </c>
      <c r="T103" t="s">
        <v>24</v>
      </c>
      <c r="U103">
        <v>2024</v>
      </c>
      <c r="V103">
        <v>3024</v>
      </c>
      <c r="W103" t="s">
        <v>62</v>
      </c>
      <c r="X103" t="s">
        <v>31</v>
      </c>
      <c r="Y103">
        <v>18</v>
      </c>
    </row>
    <row r="104" spans="5:25">
      <c r="E104">
        <v>1103</v>
      </c>
      <c r="F104" t="s">
        <v>40</v>
      </c>
      <c r="H104" t="s">
        <v>64</v>
      </c>
      <c r="I104" t="s">
        <v>65</v>
      </c>
      <c r="J104" s="21">
        <v>44951</v>
      </c>
      <c r="M104" s="23">
        <v>975</v>
      </c>
      <c r="N104" s="23">
        <v>1500</v>
      </c>
      <c r="O104">
        <v>2</v>
      </c>
      <c r="P104" s="23"/>
      <c r="Q104" s="23"/>
      <c r="R104" s="23">
        <f t="shared" si="1"/>
        <v>0</v>
      </c>
      <c r="S104" t="s">
        <v>28</v>
      </c>
      <c r="T104" t="s">
        <v>29</v>
      </c>
      <c r="U104">
        <v>2025</v>
      </c>
      <c r="V104">
        <v>3025</v>
      </c>
      <c r="W104" t="s">
        <v>66</v>
      </c>
      <c r="X104" t="s">
        <v>26</v>
      </c>
      <c r="Y104">
        <v>28</v>
      </c>
    </row>
    <row r="105" spans="5:25">
      <c r="E105">
        <v>1104</v>
      </c>
      <c r="F105" t="s">
        <v>40</v>
      </c>
      <c r="H105" t="s">
        <v>64</v>
      </c>
      <c r="I105" t="s">
        <v>67</v>
      </c>
      <c r="J105" s="21">
        <v>44952</v>
      </c>
      <c r="M105" s="23">
        <v>1170</v>
      </c>
      <c r="N105" s="23">
        <v>1800</v>
      </c>
      <c r="O105">
        <v>1</v>
      </c>
      <c r="P105" s="23"/>
      <c r="Q105" s="23"/>
      <c r="R105" s="23">
        <f t="shared" si="1"/>
        <v>0</v>
      </c>
      <c r="S105" t="s">
        <v>23</v>
      </c>
      <c r="T105" t="s">
        <v>24</v>
      </c>
      <c r="U105">
        <v>2026</v>
      </c>
      <c r="V105">
        <v>3026</v>
      </c>
      <c r="W105" t="s">
        <v>68</v>
      </c>
      <c r="X105" t="s">
        <v>31</v>
      </c>
      <c r="Y105">
        <v>26</v>
      </c>
    </row>
    <row r="106" spans="5:25">
      <c r="E106">
        <v>1105</v>
      </c>
      <c r="F106" t="s">
        <v>20</v>
      </c>
      <c r="H106" t="s">
        <v>69</v>
      </c>
      <c r="I106" t="s">
        <v>70</v>
      </c>
      <c r="J106" s="21">
        <v>44953</v>
      </c>
      <c r="M106" s="23">
        <v>1656</v>
      </c>
      <c r="N106" s="23">
        <v>2300</v>
      </c>
      <c r="O106">
        <v>2</v>
      </c>
      <c r="P106" s="23"/>
      <c r="Q106" s="23"/>
      <c r="R106" s="23">
        <f t="shared" si="1"/>
        <v>0</v>
      </c>
      <c r="S106" t="s">
        <v>28</v>
      </c>
      <c r="T106" t="s">
        <v>24</v>
      </c>
      <c r="U106">
        <v>2027</v>
      </c>
      <c r="V106">
        <v>3027</v>
      </c>
      <c r="W106" t="s">
        <v>71</v>
      </c>
      <c r="X106" t="s">
        <v>26</v>
      </c>
      <c r="Y106">
        <v>30</v>
      </c>
    </row>
    <row r="107" spans="5:25">
      <c r="E107">
        <v>1106</v>
      </c>
      <c r="F107" t="s">
        <v>20</v>
      </c>
      <c r="H107" t="s">
        <v>69</v>
      </c>
      <c r="I107" t="s">
        <v>72</v>
      </c>
      <c r="J107" s="21">
        <v>44954</v>
      </c>
      <c r="M107" s="23">
        <v>1872</v>
      </c>
      <c r="N107" s="23">
        <v>2600</v>
      </c>
      <c r="O107">
        <v>1</v>
      </c>
      <c r="P107" s="23"/>
      <c r="Q107" s="23"/>
      <c r="R107" s="23">
        <f t="shared" si="1"/>
        <v>0</v>
      </c>
      <c r="S107" t="s">
        <v>23</v>
      </c>
      <c r="T107" t="s">
        <v>29</v>
      </c>
      <c r="U107">
        <v>2028</v>
      </c>
      <c r="V107">
        <v>3028</v>
      </c>
      <c r="W107" t="s">
        <v>73</v>
      </c>
      <c r="X107" t="s">
        <v>31</v>
      </c>
      <c r="Y107">
        <v>28</v>
      </c>
    </row>
    <row r="108" spans="5:25">
      <c r="E108">
        <v>1107</v>
      </c>
      <c r="F108" t="s">
        <v>20</v>
      </c>
      <c r="H108" t="s">
        <v>21</v>
      </c>
      <c r="I108" t="s">
        <v>22</v>
      </c>
      <c r="J108" s="21">
        <v>44927</v>
      </c>
      <c r="M108" s="23">
        <v>840</v>
      </c>
      <c r="N108" s="23">
        <v>1200</v>
      </c>
      <c r="O108">
        <v>2</v>
      </c>
      <c r="P108" s="23"/>
      <c r="Q108" s="23"/>
      <c r="R108" s="23">
        <f t="shared" si="1"/>
        <v>0</v>
      </c>
      <c r="S108" t="s">
        <v>23</v>
      </c>
      <c r="T108" t="s">
        <v>24</v>
      </c>
      <c r="U108">
        <v>2001</v>
      </c>
      <c r="V108">
        <v>3001</v>
      </c>
      <c r="W108" t="s">
        <v>25</v>
      </c>
      <c r="X108" t="s">
        <v>26</v>
      </c>
      <c r="Y108">
        <v>25</v>
      </c>
    </row>
    <row r="109" spans="5:25">
      <c r="E109">
        <v>1108</v>
      </c>
      <c r="F109" t="s">
        <v>20</v>
      </c>
      <c r="H109" t="s">
        <v>21</v>
      </c>
      <c r="I109" t="s">
        <v>27</v>
      </c>
      <c r="J109" s="21">
        <v>44928</v>
      </c>
      <c r="M109" s="23">
        <v>1050</v>
      </c>
      <c r="N109" s="23">
        <v>1500</v>
      </c>
      <c r="O109">
        <v>1</v>
      </c>
      <c r="P109" s="23"/>
      <c r="Q109" s="23"/>
      <c r="R109" s="23">
        <f t="shared" si="1"/>
        <v>0</v>
      </c>
      <c r="S109" t="s">
        <v>28</v>
      </c>
      <c r="T109" t="s">
        <v>29</v>
      </c>
      <c r="U109">
        <v>2002</v>
      </c>
      <c r="V109">
        <v>3002</v>
      </c>
      <c r="W109" t="s">
        <v>30</v>
      </c>
      <c r="X109" t="s">
        <v>31</v>
      </c>
      <c r="Y109">
        <v>22</v>
      </c>
    </row>
    <row r="110" spans="5:25">
      <c r="E110">
        <v>1109</v>
      </c>
      <c r="F110" t="s">
        <v>32</v>
      </c>
      <c r="H110" t="s">
        <v>33</v>
      </c>
      <c r="I110" t="s">
        <v>34</v>
      </c>
      <c r="J110" s="21">
        <v>44929</v>
      </c>
      <c r="M110" s="23">
        <v>1260</v>
      </c>
      <c r="N110" s="23">
        <v>1800</v>
      </c>
      <c r="O110">
        <v>3</v>
      </c>
      <c r="P110" s="23"/>
      <c r="Q110" s="23"/>
      <c r="R110" s="23">
        <f t="shared" si="1"/>
        <v>0</v>
      </c>
      <c r="S110" t="s">
        <v>23</v>
      </c>
      <c r="T110" t="s">
        <v>35</v>
      </c>
      <c r="U110">
        <v>2003</v>
      </c>
      <c r="V110">
        <v>3003</v>
      </c>
      <c r="W110" t="s">
        <v>36</v>
      </c>
      <c r="X110" t="s">
        <v>26</v>
      </c>
      <c r="Y110">
        <v>18</v>
      </c>
    </row>
    <row r="111" spans="5:25">
      <c r="E111">
        <v>1110</v>
      </c>
      <c r="F111" t="s">
        <v>32</v>
      </c>
      <c r="H111" t="s">
        <v>33</v>
      </c>
      <c r="I111" t="s">
        <v>38</v>
      </c>
      <c r="J111" s="21">
        <v>44930</v>
      </c>
      <c r="M111" s="23">
        <v>1470</v>
      </c>
      <c r="N111" s="23">
        <v>2100</v>
      </c>
      <c r="O111">
        <v>1</v>
      </c>
      <c r="P111" s="23"/>
      <c r="Q111" s="23"/>
      <c r="R111" s="23">
        <f t="shared" si="1"/>
        <v>0</v>
      </c>
      <c r="S111" t="s">
        <v>23</v>
      </c>
      <c r="T111" t="s">
        <v>24</v>
      </c>
      <c r="U111">
        <v>2004</v>
      </c>
      <c r="V111">
        <v>3004</v>
      </c>
      <c r="W111" t="s">
        <v>39</v>
      </c>
      <c r="X111" t="s">
        <v>31</v>
      </c>
      <c r="Y111">
        <v>16</v>
      </c>
    </row>
    <row r="112" spans="5:25">
      <c r="E112">
        <v>1111</v>
      </c>
      <c r="F112" t="s">
        <v>40</v>
      </c>
      <c r="H112" t="s">
        <v>41</v>
      </c>
      <c r="I112" t="s">
        <v>42</v>
      </c>
      <c r="J112" s="21">
        <v>44931</v>
      </c>
      <c r="M112" s="23">
        <v>897</v>
      </c>
      <c r="N112" s="23">
        <v>1300</v>
      </c>
      <c r="O112">
        <v>2</v>
      </c>
      <c r="P112" s="23"/>
      <c r="Q112" s="23"/>
      <c r="R112" s="23">
        <f t="shared" si="1"/>
        <v>0</v>
      </c>
      <c r="S112" t="s">
        <v>28</v>
      </c>
      <c r="T112" t="s">
        <v>29</v>
      </c>
      <c r="U112">
        <v>2005</v>
      </c>
      <c r="V112">
        <v>3005</v>
      </c>
      <c r="W112" t="s">
        <v>43</v>
      </c>
      <c r="X112" t="s">
        <v>26</v>
      </c>
      <c r="Y112">
        <v>27</v>
      </c>
    </row>
    <row r="113" spans="5:25">
      <c r="E113">
        <v>1112</v>
      </c>
      <c r="F113" t="s">
        <v>40</v>
      </c>
      <c r="H113" t="s">
        <v>41</v>
      </c>
      <c r="I113" t="s">
        <v>44</v>
      </c>
      <c r="J113" s="21">
        <v>44932</v>
      </c>
      <c r="M113" s="23">
        <v>1104</v>
      </c>
      <c r="N113" s="23">
        <v>1600</v>
      </c>
      <c r="O113">
        <v>1</v>
      </c>
      <c r="P113" s="23"/>
      <c r="Q113" s="23"/>
      <c r="R113" s="23">
        <f t="shared" si="1"/>
        <v>0</v>
      </c>
      <c r="S113" t="s">
        <v>23</v>
      </c>
      <c r="T113" t="s">
        <v>24</v>
      </c>
      <c r="U113">
        <v>2006</v>
      </c>
      <c r="V113">
        <v>3006</v>
      </c>
      <c r="W113" t="s">
        <v>45</v>
      </c>
      <c r="X113" t="s">
        <v>31</v>
      </c>
      <c r="Y113">
        <v>24</v>
      </c>
    </row>
    <row r="114" spans="5:25">
      <c r="E114">
        <v>1113</v>
      </c>
      <c r="F114" t="s">
        <v>20</v>
      </c>
      <c r="H114" t="s">
        <v>46</v>
      </c>
      <c r="I114" t="s">
        <v>47</v>
      </c>
      <c r="J114" s="21">
        <v>44933</v>
      </c>
      <c r="M114" s="23">
        <v>1496</v>
      </c>
      <c r="N114" s="23">
        <v>2200</v>
      </c>
      <c r="O114">
        <v>2</v>
      </c>
      <c r="P114" s="23"/>
      <c r="Q114" s="23"/>
      <c r="R114" s="23">
        <f t="shared" si="1"/>
        <v>0</v>
      </c>
      <c r="S114" t="s">
        <v>28</v>
      </c>
      <c r="T114" t="s">
        <v>24</v>
      </c>
      <c r="U114">
        <v>2007</v>
      </c>
      <c r="V114">
        <v>3007</v>
      </c>
      <c r="W114" t="s">
        <v>48</v>
      </c>
      <c r="X114" t="s">
        <v>26</v>
      </c>
      <c r="Y114">
        <v>29</v>
      </c>
    </row>
    <row r="115" spans="5:25">
      <c r="E115">
        <v>1114</v>
      </c>
      <c r="F115" t="s">
        <v>20</v>
      </c>
      <c r="H115" t="s">
        <v>46</v>
      </c>
      <c r="I115" t="s">
        <v>49</v>
      </c>
      <c r="J115" s="21">
        <v>44934</v>
      </c>
      <c r="M115" s="23">
        <v>1700</v>
      </c>
      <c r="N115" s="23">
        <v>2500</v>
      </c>
      <c r="O115">
        <v>1</v>
      </c>
      <c r="P115" s="23"/>
      <c r="Q115" s="23"/>
      <c r="R115" s="23">
        <f t="shared" si="1"/>
        <v>0</v>
      </c>
      <c r="S115" t="s">
        <v>23</v>
      </c>
      <c r="T115" t="s">
        <v>29</v>
      </c>
      <c r="U115">
        <v>2008</v>
      </c>
      <c r="V115">
        <v>3008</v>
      </c>
      <c r="W115" t="s">
        <v>50</v>
      </c>
      <c r="X115" t="s">
        <v>31</v>
      </c>
      <c r="Y115">
        <v>27</v>
      </c>
    </row>
    <row r="116" spans="5:25">
      <c r="E116">
        <v>1115</v>
      </c>
      <c r="F116" t="s">
        <v>20</v>
      </c>
      <c r="H116" t="s">
        <v>51</v>
      </c>
      <c r="I116" t="s">
        <v>52</v>
      </c>
      <c r="J116" s="21">
        <v>44947</v>
      </c>
      <c r="M116" s="23">
        <v>737</v>
      </c>
      <c r="N116" s="23">
        <v>1100</v>
      </c>
      <c r="O116">
        <v>2</v>
      </c>
      <c r="P116" s="23"/>
      <c r="Q116" s="23"/>
      <c r="R116" s="23">
        <f t="shared" si="1"/>
        <v>0</v>
      </c>
      <c r="S116" t="s">
        <v>23</v>
      </c>
      <c r="T116" t="s">
        <v>24</v>
      </c>
      <c r="U116">
        <v>2021</v>
      </c>
      <c r="V116">
        <v>3021</v>
      </c>
      <c r="W116" t="s">
        <v>53</v>
      </c>
      <c r="X116" t="s">
        <v>26</v>
      </c>
      <c r="Y116">
        <v>24</v>
      </c>
    </row>
    <row r="117" spans="5:25">
      <c r="E117">
        <v>1116</v>
      </c>
      <c r="F117" t="s">
        <v>20</v>
      </c>
      <c r="H117" t="s">
        <v>51</v>
      </c>
      <c r="I117" t="s">
        <v>54</v>
      </c>
      <c r="J117" s="21">
        <v>44948</v>
      </c>
      <c r="M117" s="23">
        <v>938</v>
      </c>
      <c r="N117" s="23">
        <v>1400</v>
      </c>
      <c r="O117">
        <v>1</v>
      </c>
      <c r="P117" s="23"/>
      <c r="Q117" s="23"/>
      <c r="R117" s="23">
        <f t="shared" si="1"/>
        <v>0</v>
      </c>
      <c r="S117" t="s">
        <v>28</v>
      </c>
      <c r="T117" t="s">
        <v>29</v>
      </c>
      <c r="U117">
        <v>2022</v>
      </c>
      <c r="V117">
        <v>3022</v>
      </c>
      <c r="W117" t="s">
        <v>55</v>
      </c>
      <c r="X117" t="s">
        <v>31</v>
      </c>
      <c r="Y117">
        <v>21</v>
      </c>
    </row>
    <row r="118" spans="5:25">
      <c r="E118">
        <v>1117</v>
      </c>
      <c r="F118" t="s">
        <v>32</v>
      </c>
      <c r="H118" t="s">
        <v>57</v>
      </c>
      <c r="I118" t="s">
        <v>58</v>
      </c>
      <c r="J118" s="21">
        <v>44949</v>
      </c>
      <c r="M118" s="23">
        <v>1190</v>
      </c>
      <c r="N118" s="23">
        <v>1700</v>
      </c>
      <c r="O118">
        <v>3</v>
      </c>
      <c r="P118" s="23"/>
      <c r="Q118" s="23"/>
      <c r="R118" s="23">
        <f t="shared" si="1"/>
        <v>0</v>
      </c>
      <c r="S118" t="s">
        <v>23</v>
      </c>
      <c r="T118" t="s">
        <v>35</v>
      </c>
      <c r="U118">
        <v>2023</v>
      </c>
      <c r="V118">
        <v>3023</v>
      </c>
      <c r="W118" t="s">
        <v>59</v>
      </c>
      <c r="X118" t="s">
        <v>26</v>
      </c>
      <c r="Y118">
        <v>20</v>
      </c>
    </row>
    <row r="119" spans="5:25">
      <c r="E119">
        <v>1118</v>
      </c>
      <c r="F119" t="s">
        <v>32</v>
      </c>
      <c r="H119" t="s">
        <v>57</v>
      </c>
      <c r="I119" t="s">
        <v>61</v>
      </c>
      <c r="J119" s="21">
        <v>44950</v>
      </c>
      <c r="M119" s="23">
        <v>1400</v>
      </c>
      <c r="N119" s="23">
        <v>2000</v>
      </c>
      <c r="O119">
        <v>1</v>
      </c>
      <c r="P119" s="23"/>
      <c r="Q119" s="23"/>
      <c r="R119" s="23">
        <f t="shared" si="1"/>
        <v>0</v>
      </c>
      <c r="S119" t="s">
        <v>23</v>
      </c>
      <c r="T119" t="s">
        <v>24</v>
      </c>
      <c r="U119">
        <v>2024</v>
      </c>
      <c r="V119">
        <v>3024</v>
      </c>
      <c r="W119" t="s">
        <v>62</v>
      </c>
      <c r="X119" t="s">
        <v>31</v>
      </c>
      <c r="Y119">
        <v>18</v>
      </c>
    </row>
    <row r="120" spans="5:25">
      <c r="E120">
        <v>1119</v>
      </c>
      <c r="F120" t="s">
        <v>40</v>
      </c>
      <c r="H120" t="s">
        <v>64</v>
      </c>
      <c r="I120" t="s">
        <v>65</v>
      </c>
      <c r="J120" s="21">
        <v>44951</v>
      </c>
      <c r="M120" s="23">
        <v>975</v>
      </c>
      <c r="N120" s="23">
        <v>1500</v>
      </c>
      <c r="O120">
        <v>2</v>
      </c>
      <c r="P120" s="23"/>
      <c r="Q120" s="23"/>
      <c r="R120" s="23">
        <f t="shared" si="1"/>
        <v>0</v>
      </c>
      <c r="S120" t="s">
        <v>28</v>
      </c>
      <c r="T120" t="s">
        <v>29</v>
      </c>
      <c r="U120">
        <v>2025</v>
      </c>
      <c r="V120">
        <v>3025</v>
      </c>
      <c r="W120" t="s">
        <v>66</v>
      </c>
      <c r="X120" t="s">
        <v>26</v>
      </c>
      <c r="Y120">
        <v>28</v>
      </c>
    </row>
    <row r="121" spans="5:25">
      <c r="E121">
        <v>1120</v>
      </c>
      <c r="F121" t="s">
        <v>40</v>
      </c>
      <c r="H121" t="s">
        <v>64</v>
      </c>
      <c r="I121" t="s">
        <v>67</v>
      </c>
      <c r="J121" s="21">
        <v>44952</v>
      </c>
      <c r="M121" s="23">
        <v>1170</v>
      </c>
      <c r="N121" s="23">
        <v>1800</v>
      </c>
      <c r="O121">
        <v>1</v>
      </c>
      <c r="P121" s="23"/>
      <c r="Q121" s="23"/>
      <c r="R121" s="23">
        <f t="shared" si="1"/>
        <v>0</v>
      </c>
      <c r="S121" t="s">
        <v>23</v>
      </c>
      <c r="T121" t="s">
        <v>24</v>
      </c>
      <c r="U121">
        <v>2026</v>
      </c>
      <c r="V121">
        <v>3026</v>
      </c>
      <c r="W121" t="s">
        <v>68</v>
      </c>
      <c r="X121" t="s">
        <v>31</v>
      </c>
      <c r="Y121">
        <v>26</v>
      </c>
    </row>
    <row r="122" spans="5:25">
      <c r="E122">
        <v>1121</v>
      </c>
      <c r="F122" t="s">
        <v>20</v>
      </c>
      <c r="H122" t="s">
        <v>69</v>
      </c>
      <c r="I122" t="s">
        <v>70</v>
      </c>
      <c r="J122" s="21">
        <v>44953</v>
      </c>
      <c r="M122" s="23">
        <v>1656</v>
      </c>
      <c r="N122" s="23">
        <v>2300</v>
      </c>
      <c r="O122">
        <v>2</v>
      </c>
      <c r="P122" s="23"/>
      <c r="Q122" s="23"/>
      <c r="R122" s="23">
        <f t="shared" si="1"/>
        <v>0</v>
      </c>
      <c r="S122" t="s">
        <v>28</v>
      </c>
      <c r="T122" t="s">
        <v>24</v>
      </c>
      <c r="U122">
        <v>2027</v>
      </c>
      <c r="V122">
        <v>3027</v>
      </c>
      <c r="W122" t="s">
        <v>71</v>
      </c>
      <c r="X122" t="s">
        <v>26</v>
      </c>
      <c r="Y122">
        <v>30</v>
      </c>
    </row>
    <row r="123" spans="5:25">
      <c r="E123">
        <v>1122</v>
      </c>
      <c r="F123" t="s">
        <v>20</v>
      </c>
      <c r="H123" t="s">
        <v>69</v>
      </c>
      <c r="I123" t="s">
        <v>72</v>
      </c>
      <c r="J123" s="21">
        <v>44954</v>
      </c>
      <c r="M123" s="23">
        <v>1872</v>
      </c>
      <c r="N123" s="23">
        <v>2600</v>
      </c>
      <c r="O123">
        <v>1</v>
      </c>
      <c r="P123" s="23"/>
      <c r="Q123" s="23"/>
      <c r="R123" s="23">
        <f t="shared" si="1"/>
        <v>0</v>
      </c>
      <c r="S123" t="s">
        <v>23</v>
      </c>
      <c r="T123" t="s">
        <v>29</v>
      </c>
      <c r="U123">
        <v>2028</v>
      </c>
      <c r="V123">
        <v>3028</v>
      </c>
      <c r="W123" t="s">
        <v>73</v>
      </c>
      <c r="X123" t="s">
        <v>31</v>
      </c>
      <c r="Y123">
        <v>28</v>
      </c>
    </row>
    <row r="124" spans="5:25">
      <c r="E124">
        <v>1123</v>
      </c>
      <c r="F124" t="s">
        <v>20</v>
      </c>
      <c r="H124" t="s">
        <v>74</v>
      </c>
      <c r="I124" t="s">
        <v>75</v>
      </c>
      <c r="J124" s="21">
        <v>44937</v>
      </c>
      <c r="M124" s="23">
        <v>780</v>
      </c>
      <c r="N124" s="23">
        <v>1300</v>
      </c>
      <c r="O124">
        <v>2</v>
      </c>
      <c r="P124" s="23"/>
      <c r="Q124" s="23"/>
      <c r="R124" s="23">
        <f t="shared" si="1"/>
        <v>0</v>
      </c>
      <c r="S124" t="s">
        <v>23</v>
      </c>
      <c r="T124" t="s">
        <v>24</v>
      </c>
      <c r="U124">
        <v>2041</v>
      </c>
      <c r="V124">
        <v>3041</v>
      </c>
      <c r="W124" t="s">
        <v>76</v>
      </c>
      <c r="X124" t="s">
        <v>26</v>
      </c>
      <c r="Y124">
        <v>32</v>
      </c>
    </row>
    <row r="125" spans="5:25">
      <c r="E125">
        <v>1124</v>
      </c>
      <c r="F125" t="s">
        <v>20</v>
      </c>
      <c r="H125" t="s">
        <v>74</v>
      </c>
      <c r="I125" t="s">
        <v>77</v>
      </c>
      <c r="J125" s="21">
        <v>44938</v>
      </c>
      <c r="M125" s="23">
        <v>960</v>
      </c>
      <c r="N125" s="23">
        <v>1600</v>
      </c>
      <c r="O125">
        <v>1</v>
      </c>
      <c r="P125" s="23"/>
      <c r="Q125" s="23"/>
      <c r="R125" s="23">
        <f t="shared" si="1"/>
        <v>0</v>
      </c>
      <c r="S125" t="s">
        <v>28</v>
      </c>
      <c r="T125" t="s">
        <v>29</v>
      </c>
      <c r="U125">
        <v>2042</v>
      </c>
      <c r="V125">
        <v>3042</v>
      </c>
      <c r="W125" t="s">
        <v>78</v>
      </c>
      <c r="X125" t="s">
        <v>31</v>
      </c>
      <c r="Y125">
        <v>29</v>
      </c>
    </row>
    <row r="126" spans="5:25">
      <c r="E126">
        <v>1125</v>
      </c>
      <c r="F126" t="s">
        <v>32</v>
      </c>
      <c r="H126" t="s">
        <v>79</v>
      </c>
      <c r="I126" t="s">
        <v>80</v>
      </c>
      <c r="J126" s="21">
        <v>44939</v>
      </c>
      <c r="M126" s="23">
        <v>1292</v>
      </c>
      <c r="N126" s="23">
        <v>1900</v>
      </c>
      <c r="O126">
        <v>3</v>
      </c>
      <c r="P126" s="23"/>
      <c r="Q126" s="23"/>
      <c r="R126" s="23">
        <f t="shared" si="1"/>
        <v>0</v>
      </c>
      <c r="S126" t="s">
        <v>23</v>
      </c>
      <c r="T126" t="s">
        <v>35</v>
      </c>
      <c r="U126">
        <v>2043</v>
      </c>
      <c r="V126">
        <v>3043</v>
      </c>
      <c r="W126" t="s">
        <v>81</v>
      </c>
      <c r="X126" t="s">
        <v>26</v>
      </c>
      <c r="Y126">
        <v>21</v>
      </c>
    </row>
    <row r="127" spans="5:25">
      <c r="E127">
        <v>1126</v>
      </c>
      <c r="F127" t="s">
        <v>32</v>
      </c>
      <c r="H127" t="s">
        <v>79</v>
      </c>
      <c r="I127" t="s">
        <v>82</v>
      </c>
      <c r="J127" s="21">
        <v>44940</v>
      </c>
      <c r="M127" s="23">
        <v>1496</v>
      </c>
      <c r="N127" s="23">
        <v>2200</v>
      </c>
      <c r="O127">
        <v>1</v>
      </c>
      <c r="P127" s="23"/>
      <c r="Q127" s="23"/>
      <c r="R127" s="23">
        <f t="shared" si="1"/>
        <v>0</v>
      </c>
      <c r="S127" t="s">
        <v>23</v>
      </c>
      <c r="T127" t="s">
        <v>24</v>
      </c>
      <c r="U127">
        <v>2044</v>
      </c>
      <c r="V127">
        <v>3044</v>
      </c>
      <c r="W127" t="s">
        <v>83</v>
      </c>
      <c r="X127" t="s">
        <v>31</v>
      </c>
      <c r="Y127">
        <v>19</v>
      </c>
    </row>
    <row r="128" spans="5:25">
      <c r="E128">
        <v>1127</v>
      </c>
      <c r="F128" t="s">
        <v>40</v>
      </c>
      <c r="H128" t="s">
        <v>84</v>
      </c>
      <c r="I128" t="s">
        <v>85</v>
      </c>
      <c r="J128" s="21">
        <v>44941</v>
      </c>
      <c r="M128" s="23">
        <v>1340</v>
      </c>
      <c r="N128" s="23">
        <v>2000</v>
      </c>
      <c r="O128">
        <v>2</v>
      </c>
      <c r="P128" s="23"/>
      <c r="Q128" s="23"/>
      <c r="R128" s="23">
        <f t="shared" si="1"/>
        <v>0</v>
      </c>
      <c r="S128" t="s">
        <v>28</v>
      </c>
      <c r="T128" t="s">
        <v>29</v>
      </c>
      <c r="U128">
        <v>2045</v>
      </c>
      <c r="V128">
        <v>3045</v>
      </c>
      <c r="W128" t="s">
        <v>86</v>
      </c>
      <c r="X128" t="s">
        <v>26</v>
      </c>
      <c r="Y128">
        <v>36</v>
      </c>
    </row>
    <row r="129" spans="5:25">
      <c r="E129">
        <v>1128</v>
      </c>
      <c r="F129" t="s">
        <v>40</v>
      </c>
      <c r="H129" t="s">
        <v>84</v>
      </c>
      <c r="I129" t="s">
        <v>87</v>
      </c>
      <c r="J129" s="21">
        <v>44942</v>
      </c>
      <c r="M129" s="23">
        <v>1541</v>
      </c>
      <c r="N129" s="23">
        <v>2300</v>
      </c>
      <c r="O129">
        <v>1</v>
      </c>
      <c r="P129" s="23"/>
      <c r="Q129" s="23"/>
      <c r="R129" s="23">
        <f t="shared" si="1"/>
        <v>0</v>
      </c>
      <c r="S129" t="s">
        <v>23</v>
      </c>
      <c r="T129" t="s">
        <v>24</v>
      </c>
      <c r="U129">
        <v>2046</v>
      </c>
      <c r="V129">
        <v>3046</v>
      </c>
      <c r="W129" t="s">
        <v>88</v>
      </c>
      <c r="X129" t="s">
        <v>31</v>
      </c>
      <c r="Y129">
        <v>34</v>
      </c>
    </row>
    <row r="130" spans="5:25">
      <c r="E130">
        <v>1129</v>
      </c>
      <c r="F130" t="s">
        <v>20</v>
      </c>
      <c r="H130" t="s">
        <v>89</v>
      </c>
      <c r="I130" t="s">
        <v>90</v>
      </c>
      <c r="J130" s="21">
        <v>44943</v>
      </c>
      <c r="M130" s="23">
        <v>2250</v>
      </c>
      <c r="N130" s="23">
        <v>3000</v>
      </c>
      <c r="O130">
        <v>2</v>
      </c>
      <c r="P130" s="23"/>
      <c r="Q130" s="23"/>
      <c r="R130" s="23">
        <f t="shared" si="1"/>
        <v>0</v>
      </c>
      <c r="S130" t="s">
        <v>28</v>
      </c>
      <c r="T130" t="s">
        <v>24</v>
      </c>
      <c r="U130">
        <v>2047</v>
      </c>
      <c r="V130">
        <v>3047</v>
      </c>
      <c r="W130" t="s">
        <v>91</v>
      </c>
      <c r="X130" t="s">
        <v>26</v>
      </c>
      <c r="Y130">
        <v>40</v>
      </c>
    </row>
    <row r="131" spans="5:25">
      <c r="E131">
        <v>1130</v>
      </c>
      <c r="F131" t="s">
        <v>20</v>
      </c>
      <c r="H131" t="s">
        <v>89</v>
      </c>
      <c r="I131" t="s">
        <v>92</v>
      </c>
      <c r="J131" s="21">
        <v>44944</v>
      </c>
      <c r="M131" s="23">
        <v>2625</v>
      </c>
      <c r="N131" s="23">
        <v>3500</v>
      </c>
      <c r="O131">
        <v>1</v>
      </c>
      <c r="P131" s="23"/>
      <c r="Q131" s="23"/>
      <c r="R131" s="23">
        <f t="shared" ref="R131:R194" si="2">P131+Q131</f>
        <v>0</v>
      </c>
      <c r="S131" t="s">
        <v>23</v>
      </c>
      <c r="T131" t="s">
        <v>29</v>
      </c>
      <c r="U131">
        <v>2048</v>
      </c>
      <c r="V131">
        <v>3048</v>
      </c>
      <c r="W131" t="s">
        <v>93</v>
      </c>
      <c r="X131" t="s">
        <v>31</v>
      </c>
      <c r="Y131">
        <v>38</v>
      </c>
    </row>
    <row r="132" spans="5:25">
      <c r="E132">
        <v>1131</v>
      </c>
      <c r="F132" t="s">
        <v>94</v>
      </c>
      <c r="H132" t="s">
        <v>95</v>
      </c>
      <c r="I132" t="s">
        <v>96</v>
      </c>
      <c r="J132" s="21">
        <v>44927</v>
      </c>
      <c r="M132" s="23">
        <v>1460</v>
      </c>
      <c r="N132" s="23">
        <v>2000</v>
      </c>
      <c r="O132">
        <v>2</v>
      </c>
      <c r="P132" s="23"/>
      <c r="Q132" s="23"/>
      <c r="R132" s="23">
        <f t="shared" si="2"/>
        <v>0</v>
      </c>
      <c r="S132" t="s">
        <v>23</v>
      </c>
      <c r="T132" t="s">
        <v>24</v>
      </c>
      <c r="U132">
        <v>2061</v>
      </c>
      <c r="V132">
        <v>3061</v>
      </c>
      <c r="W132" t="s">
        <v>97</v>
      </c>
      <c r="X132" t="s">
        <v>26</v>
      </c>
      <c r="Y132">
        <v>35</v>
      </c>
    </row>
    <row r="133" spans="5:25">
      <c r="E133">
        <v>1132</v>
      </c>
      <c r="F133" t="s">
        <v>94</v>
      </c>
      <c r="H133" t="s">
        <v>95</v>
      </c>
      <c r="I133" t="s">
        <v>98</v>
      </c>
      <c r="J133" s="21">
        <v>44928</v>
      </c>
      <c r="M133" s="23">
        <v>1825</v>
      </c>
      <c r="N133" s="23">
        <v>2500</v>
      </c>
      <c r="O133">
        <v>1</v>
      </c>
      <c r="P133" s="23"/>
      <c r="Q133" s="23"/>
      <c r="R133" s="23">
        <f t="shared" si="2"/>
        <v>0</v>
      </c>
      <c r="S133" t="s">
        <v>28</v>
      </c>
      <c r="T133" t="s">
        <v>29</v>
      </c>
      <c r="U133">
        <v>2062</v>
      </c>
      <c r="V133">
        <v>3062</v>
      </c>
      <c r="W133" t="s">
        <v>99</v>
      </c>
      <c r="X133" t="s">
        <v>31</v>
      </c>
      <c r="Y133">
        <v>33</v>
      </c>
    </row>
    <row r="134" spans="5:25">
      <c r="E134">
        <v>1133</v>
      </c>
      <c r="F134" t="s">
        <v>32</v>
      </c>
      <c r="H134" t="s">
        <v>100</v>
      </c>
      <c r="I134" t="s">
        <v>101</v>
      </c>
      <c r="J134" s="21">
        <v>44929</v>
      </c>
      <c r="M134" s="23">
        <v>1105</v>
      </c>
      <c r="N134" s="23">
        <v>1700</v>
      </c>
      <c r="O134">
        <v>3</v>
      </c>
      <c r="P134" s="23"/>
      <c r="Q134" s="23"/>
      <c r="R134" s="23">
        <f t="shared" si="2"/>
        <v>0</v>
      </c>
      <c r="S134" t="s">
        <v>23</v>
      </c>
      <c r="T134" t="s">
        <v>35</v>
      </c>
      <c r="U134">
        <v>2063</v>
      </c>
      <c r="V134">
        <v>3063</v>
      </c>
      <c r="W134" t="s">
        <v>102</v>
      </c>
      <c r="X134" t="s">
        <v>26</v>
      </c>
      <c r="Y134">
        <v>22</v>
      </c>
    </row>
    <row r="135" spans="5:25">
      <c r="E135">
        <v>1134</v>
      </c>
      <c r="F135" t="s">
        <v>32</v>
      </c>
      <c r="H135" t="s">
        <v>100</v>
      </c>
      <c r="I135" t="s">
        <v>103</v>
      </c>
      <c r="J135" s="21">
        <v>44930</v>
      </c>
      <c r="M135" s="23">
        <v>1365</v>
      </c>
      <c r="N135" s="23">
        <v>2100</v>
      </c>
      <c r="O135">
        <v>1</v>
      </c>
      <c r="P135" s="23"/>
      <c r="Q135" s="23"/>
      <c r="R135" s="23">
        <f t="shared" si="2"/>
        <v>0</v>
      </c>
      <c r="S135" t="s">
        <v>23</v>
      </c>
      <c r="T135" t="s">
        <v>24</v>
      </c>
      <c r="U135">
        <v>2064</v>
      </c>
      <c r="V135">
        <v>3064</v>
      </c>
      <c r="W135" t="s">
        <v>104</v>
      </c>
      <c r="X135" t="s">
        <v>31</v>
      </c>
      <c r="Y135">
        <v>20</v>
      </c>
    </row>
    <row r="136" spans="5:25">
      <c r="E136">
        <v>1135</v>
      </c>
      <c r="F136" t="s">
        <v>40</v>
      </c>
      <c r="H136" t="s">
        <v>105</v>
      </c>
      <c r="I136" t="s">
        <v>106</v>
      </c>
      <c r="J136" s="21">
        <v>44931</v>
      </c>
      <c r="M136" s="23">
        <v>1035</v>
      </c>
      <c r="N136" s="23">
        <v>1500</v>
      </c>
      <c r="O136">
        <v>2</v>
      </c>
      <c r="P136" s="23"/>
      <c r="Q136" s="23"/>
      <c r="R136" s="23">
        <f t="shared" si="2"/>
        <v>0</v>
      </c>
      <c r="S136" t="s">
        <v>28</v>
      </c>
      <c r="T136" t="s">
        <v>29</v>
      </c>
      <c r="U136">
        <v>2065</v>
      </c>
      <c r="V136">
        <v>3065</v>
      </c>
      <c r="W136" t="s">
        <v>107</v>
      </c>
      <c r="X136" t="s">
        <v>26</v>
      </c>
      <c r="Y136">
        <v>30</v>
      </c>
    </row>
    <row r="137" spans="5:25">
      <c r="E137">
        <v>1136</v>
      </c>
      <c r="F137" t="s">
        <v>40</v>
      </c>
      <c r="H137" t="s">
        <v>105</v>
      </c>
      <c r="I137" t="s">
        <v>108</v>
      </c>
      <c r="J137" s="21">
        <v>44932</v>
      </c>
      <c r="M137" s="23">
        <v>1242</v>
      </c>
      <c r="N137" s="23">
        <v>1800</v>
      </c>
      <c r="O137">
        <v>1</v>
      </c>
      <c r="P137" s="23"/>
      <c r="Q137" s="23"/>
      <c r="R137" s="23">
        <f t="shared" si="2"/>
        <v>0</v>
      </c>
      <c r="S137" t="s">
        <v>23</v>
      </c>
      <c r="T137" t="s">
        <v>24</v>
      </c>
      <c r="U137">
        <v>2066</v>
      </c>
      <c r="V137">
        <v>3066</v>
      </c>
      <c r="W137" t="s">
        <v>109</v>
      </c>
      <c r="X137" t="s">
        <v>31</v>
      </c>
      <c r="Y137">
        <v>28</v>
      </c>
    </row>
    <row r="138" spans="5:25">
      <c r="E138">
        <v>1137</v>
      </c>
      <c r="F138" t="s">
        <v>94</v>
      </c>
      <c r="H138" t="s">
        <v>110</v>
      </c>
      <c r="I138" t="s">
        <v>111</v>
      </c>
      <c r="J138" s="21">
        <v>44933</v>
      </c>
      <c r="M138" s="23">
        <v>2080</v>
      </c>
      <c r="N138" s="23">
        <v>3200</v>
      </c>
      <c r="O138">
        <v>2</v>
      </c>
      <c r="P138" s="23"/>
      <c r="Q138" s="23"/>
      <c r="R138" s="23">
        <f t="shared" si="2"/>
        <v>0</v>
      </c>
      <c r="S138" t="s">
        <v>28</v>
      </c>
      <c r="T138" t="s">
        <v>24</v>
      </c>
      <c r="U138">
        <v>2067</v>
      </c>
      <c r="V138">
        <v>3067</v>
      </c>
      <c r="W138" t="s">
        <v>91</v>
      </c>
      <c r="X138" t="s">
        <v>26</v>
      </c>
      <c r="Y138">
        <v>42</v>
      </c>
    </row>
    <row r="139" spans="5:25">
      <c r="E139">
        <v>1138</v>
      </c>
      <c r="F139" t="s">
        <v>94</v>
      </c>
      <c r="H139" t="s">
        <v>110</v>
      </c>
      <c r="I139" t="s">
        <v>112</v>
      </c>
      <c r="J139" s="21">
        <v>44934</v>
      </c>
      <c r="M139" s="23">
        <v>2405</v>
      </c>
      <c r="N139" s="23">
        <v>3700</v>
      </c>
      <c r="O139">
        <v>1</v>
      </c>
      <c r="P139" s="23"/>
      <c r="Q139" s="23"/>
      <c r="R139" s="23">
        <f t="shared" si="2"/>
        <v>0</v>
      </c>
      <c r="S139" t="s">
        <v>23</v>
      </c>
      <c r="T139" t="s">
        <v>29</v>
      </c>
      <c r="U139">
        <v>2068</v>
      </c>
      <c r="V139">
        <v>3068</v>
      </c>
      <c r="W139" t="s">
        <v>93</v>
      </c>
      <c r="X139" t="s">
        <v>31</v>
      </c>
      <c r="Y139">
        <v>40</v>
      </c>
    </row>
    <row r="140" spans="5:25">
      <c r="E140">
        <v>1139</v>
      </c>
      <c r="F140" t="s">
        <v>113</v>
      </c>
      <c r="H140" t="s">
        <v>114</v>
      </c>
      <c r="I140" t="s">
        <v>115</v>
      </c>
      <c r="J140" s="21">
        <v>44976</v>
      </c>
      <c r="M140" s="23">
        <v>720</v>
      </c>
      <c r="N140" s="23">
        <v>1200</v>
      </c>
      <c r="O140">
        <v>2</v>
      </c>
      <c r="P140" s="23"/>
      <c r="Q140" s="23"/>
      <c r="R140" s="23">
        <f t="shared" si="2"/>
        <v>0</v>
      </c>
      <c r="S140" t="s">
        <v>23</v>
      </c>
      <c r="T140" t="s">
        <v>24</v>
      </c>
      <c r="U140">
        <v>2081</v>
      </c>
      <c r="V140">
        <v>3081</v>
      </c>
      <c r="W140" t="s">
        <v>116</v>
      </c>
      <c r="X140" t="s">
        <v>26</v>
      </c>
      <c r="Y140">
        <v>27</v>
      </c>
    </row>
    <row r="141" spans="5:25">
      <c r="E141">
        <v>1140</v>
      </c>
      <c r="F141" t="s">
        <v>113</v>
      </c>
      <c r="H141" t="s">
        <v>114</v>
      </c>
      <c r="I141" t="s">
        <v>117</v>
      </c>
      <c r="J141" s="21">
        <v>44977</v>
      </c>
      <c r="M141" s="23">
        <v>900</v>
      </c>
      <c r="N141" s="23">
        <v>1500</v>
      </c>
      <c r="O141">
        <v>1</v>
      </c>
      <c r="P141" s="23"/>
      <c r="Q141" s="23"/>
      <c r="R141" s="23">
        <f t="shared" si="2"/>
        <v>0</v>
      </c>
      <c r="S141" t="s">
        <v>28</v>
      </c>
      <c r="T141" t="s">
        <v>29</v>
      </c>
      <c r="U141">
        <v>2082</v>
      </c>
      <c r="V141">
        <v>3082</v>
      </c>
      <c r="W141" t="s">
        <v>118</v>
      </c>
      <c r="X141" t="s">
        <v>31</v>
      </c>
      <c r="Y141">
        <v>25</v>
      </c>
    </row>
    <row r="142" spans="5:25">
      <c r="E142">
        <v>1141</v>
      </c>
      <c r="F142" t="s">
        <v>32</v>
      </c>
      <c r="H142" t="s">
        <v>119</v>
      </c>
      <c r="I142" t="s">
        <v>120</v>
      </c>
      <c r="J142" s="21">
        <v>44978</v>
      </c>
      <c r="M142" s="23">
        <v>1932</v>
      </c>
      <c r="N142" s="23">
        <v>2800</v>
      </c>
      <c r="O142">
        <v>3</v>
      </c>
      <c r="P142" s="23"/>
      <c r="Q142" s="23"/>
      <c r="R142" s="23">
        <f t="shared" si="2"/>
        <v>0</v>
      </c>
      <c r="S142" t="s">
        <v>23</v>
      </c>
      <c r="T142" t="s">
        <v>35</v>
      </c>
      <c r="U142">
        <v>2083</v>
      </c>
      <c r="V142">
        <v>3083</v>
      </c>
      <c r="W142" t="s">
        <v>121</v>
      </c>
      <c r="X142" t="s">
        <v>26</v>
      </c>
      <c r="Y142">
        <v>18</v>
      </c>
    </row>
    <row r="143" spans="5:25">
      <c r="E143">
        <v>1142</v>
      </c>
      <c r="F143" t="s">
        <v>32</v>
      </c>
      <c r="H143" t="s">
        <v>119</v>
      </c>
      <c r="I143" t="s">
        <v>122</v>
      </c>
      <c r="J143" s="21">
        <v>44979</v>
      </c>
      <c r="M143" s="23">
        <v>2208</v>
      </c>
      <c r="N143" s="23">
        <v>3200</v>
      </c>
      <c r="O143">
        <v>1</v>
      </c>
      <c r="P143" s="23"/>
      <c r="Q143" s="23"/>
      <c r="R143" s="23">
        <f t="shared" si="2"/>
        <v>0</v>
      </c>
      <c r="S143" t="s">
        <v>23</v>
      </c>
      <c r="T143" t="s">
        <v>24</v>
      </c>
      <c r="U143">
        <v>2084</v>
      </c>
      <c r="V143">
        <v>3084</v>
      </c>
      <c r="W143" t="s">
        <v>123</v>
      </c>
      <c r="X143" t="s">
        <v>31</v>
      </c>
      <c r="Y143">
        <v>16</v>
      </c>
    </row>
    <row r="144" spans="5:25">
      <c r="E144">
        <v>1143</v>
      </c>
      <c r="F144" t="s">
        <v>40</v>
      </c>
      <c r="H144" t="s">
        <v>124</v>
      </c>
      <c r="I144" t="s">
        <v>125</v>
      </c>
      <c r="J144" s="21">
        <v>44980</v>
      </c>
      <c r="M144" s="23">
        <v>1500</v>
      </c>
      <c r="N144" s="23">
        <v>2000</v>
      </c>
      <c r="O144">
        <v>2</v>
      </c>
      <c r="P144" s="23"/>
      <c r="Q144" s="23"/>
      <c r="R144" s="23">
        <f t="shared" si="2"/>
        <v>0</v>
      </c>
      <c r="S144" t="s">
        <v>28</v>
      </c>
      <c r="T144" t="s">
        <v>29</v>
      </c>
      <c r="U144">
        <v>2085</v>
      </c>
      <c r="V144">
        <v>3085</v>
      </c>
      <c r="W144" t="s">
        <v>126</v>
      </c>
      <c r="X144" t="s">
        <v>26</v>
      </c>
      <c r="Y144">
        <v>33</v>
      </c>
    </row>
    <row r="145" spans="5:25">
      <c r="E145">
        <v>1144</v>
      </c>
      <c r="F145" t="s">
        <v>40</v>
      </c>
      <c r="H145" t="s">
        <v>124</v>
      </c>
      <c r="I145" t="s">
        <v>127</v>
      </c>
      <c r="J145" s="21">
        <v>44981</v>
      </c>
      <c r="M145" s="23">
        <v>1800</v>
      </c>
      <c r="N145" s="23">
        <v>2400</v>
      </c>
      <c r="O145">
        <v>1</v>
      </c>
      <c r="P145" s="23"/>
      <c r="Q145" s="23"/>
      <c r="R145" s="23">
        <f t="shared" si="2"/>
        <v>0</v>
      </c>
      <c r="S145" t="s">
        <v>23</v>
      </c>
      <c r="T145" t="s">
        <v>24</v>
      </c>
      <c r="U145">
        <v>2086</v>
      </c>
      <c r="V145">
        <v>3086</v>
      </c>
      <c r="W145" t="s">
        <v>128</v>
      </c>
      <c r="X145" t="s">
        <v>31</v>
      </c>
      <c r="Y145">
        <v>30</v>
      </c>
    </row>
    <row r="146" spans="5:25">
      <c r="E146">
        <v>1145</v>
      </c>
      <c r="F146" t="s">
        <v>20</v>
      </c>
      <c r="H146" t="s">
        <v>46</v>
      </c>
      <c r="I146" t="s">
        <v>129</v>
      </c>
      <c r="J146" s="21">
        <v>44982</v>
      </c>
      <c r="M146" s="23">
        <v>2291</v>
      </c>
      <c r="N146" s="23">
        <v>2900</v>
      </c>
      <c r="O146">
        <v>2</v>
      </c>
      <c r="P146" s="23"/>
      <c r="Q146" s="23"/>
      <c r="R146" s="23">
        <f t="shared" si="2"/>
        <v>0</v>
      </c>
      <c r="S146" t="s">
        <v>28</v>
      </c>
      <c r="T146" t="s">
        <v>24</v>
      </c>
      <c r="U146">
        <v>2087</v>
      </c>
      <c r="V146">
        <v>3087</v>
      </c>
      <c r="W146" t="s">
        <v>130</v>
      </c>
      <c r="X146" t="s">
        <v>26</v>
      </c>
      <c r="Y146">
        <v>34</v>
      </c>
    </row>
    <row r="147" spans="5:25">
      <c r="E147">
        <v>1146</v>
      </c>
      <c r="F147" t="s">
        <v>20</v>
      </c>
      <c r="H147" t="s">
        <v>51</v>
      </c>
      <c r="I147" t="s">
        <v>54</v>
      </c>
      <c r="J147" s="21">
        <v>44979</v>
      </c>
      <c r="M147" s="23">
        <v>938</v>
      </c>
      <c r="N147" s="23">
        <v>1400</v>
      </c>
      <c r="O147">
        <v>1</v>
      </c>
      <c r="P147" s="23"/>
      <c r="Q147" s="23"/>
      <c r="R147" s="23">
        <f t="shared" si="2"/>
        <v>0</v>
      </c>
      <c r="S147" t="s">
        <v>28</v>
      </c>
      <c r="T147" t="s">
        <v>29</v>
      </c>
      <c r="U147">
        <v>2022</v>
      </c>
      <c r="V147">
        <v>3022</v>
      </c>
      <c r="W147" t="s">
        <v>55</v>
      </c>
      <c r="X147" t="s">
        <v>31</v>
      </c>
      <c r="Y147">
        <v>21</v>
      </c>
    </row>
    <row r="148" spans="5:25">
      <c r="E148">
        <v>1147</v>
      </c>
      <c r="F148" t="s">
        <v>32</v>
      </c>
      <c r="H148" t="s">
        <v>57</v>
      </c>
      <c r="I148" t="s">
        <v>58</v>
      </c>
      <c r="J148" s="21">
        <v>44980</v>
      </c>
      <c r="M148" s="23">
        <v>1190</v>
      </c>
      <c r="N148" s="23">
        <v>1700</v>
      </c>
      <c r="O148">
        <v>3</v>
      </c>
      <c r="P148" s="23"/>
      <c r="Q148" s="23"/>
      <c r="R148" s="23">
        <f t="shared" si="2"/>
        <v>0</v>
      </c>
      <c r="S148" t="s">
        <v>23</v>
      </c>
      <c r="T148" t="s">
        <v>35</v>
      </c>
      <c r="U148">
        <v>2023</v>
      </c>
      <c r="V148">
        <v>3023</v>
      </c>
      <c r="W148" t="s">
        <v>59</v>
      </c>
      <c r="X148" t="s">
        <v>26</v>
      </c>
      <c r="Y148">
        <v>20</v>
      </c>
    </row>
    <row r="149" spans="5:25">
      <c r="E149">
        <v>1148</v>
      </c>
      <c r="F149" t="s">
        <v>32</v>
      </c>
      <c r="H149" t="s">
        <v>57</v>
      </c>
      <c r="I149" t="s">
        <v>61</v>
      </c>
      <c r="J149" s="21">
        <v>44981</v>
      </c>
      <c r="M149" s="23">
        <v>1400</v>
      </c>
      <c r="N149" s="23">
        <v>2000</v>
      </c>
      <c r="O149">
        <v>1</v>
      </c>
      <c r="P149" s="23"/>
      <c r="Q149" s="23"/>
      <c r="R149" s="23">
        <f t="shared" si="2"/>
        <v>0</v>
      </c>
      <c r="S149" t="s">
        <v>23</v>
      </c>
      <c r="T149" t="s">
        <v>24</v>
      </c>
      <c r="U149">
        <v>2024</v>
      </c>
      <c r="V149">
        <v>3024</v>
      </c>
      <c r="W149" t="s">
        <v>62</v>
      </c>
      <c r="X149" t="s">
        <v>31</v>
      </c>
      <c r="Y149">
        <v>18</v>
      </c>
    </row>
    <row r="150" spans="5:25">
      <c r="E150">
        <v>1149</v>
      </c>
      <c r="F150" t="s">
        <v>40</v>
      </c>
      <c r="H150" t="s">
        <v>64</v>
      </c>
      <c r="I150" t="s">
        <v>65</v>
      </c>
      <c r="J150" s="21">
        <v>44982</v>
      </c>
      <c r="M150" s="23">
        <v>975</v>
      </c>
      <c r="N150" s="23">
        <v>1500</v>
      </c>
      <c r="O150">
        <v>2</v>
      </c>
      <c r="P150" s="23"/>
      <c r="Q150" s="23"/>
      <c r="R150" s="23">
        <f t="shared" si="2"/>
        <v>0</v>
      </c>
      <c r="S150" t="s">
        <v>28</v>
      </c>
      <c r="T150" t="s">
        <v>29</v>
      </c>
      <c r="U150">
        <v>2025</v>
      </c>
      <c r="V150">
        <v>3025</v>
      </c>
      <c r="W150" t="s">
        <v>66</v>
      </c>
      <c r="X150" t="s">
        <v>26</v>
      </c>
      <c r="Y150">
        <v>28</v>
      </c>
    </row>
    <row r="151" spans="5:25">
      <c r="E151">
        <v>1150</v>
      </c>
      <c r="F151" t="s">
        <v>40</v>
      </c>
      <c r="H151" t="s">
        <v>64</v>
      </c>
      <c r="I151" t="s">
        <v>67</v>
      </c>
      <c r="J151" s="21">
        <v>44983</v>
      </c>
      <c r="M151" s="23">
        <v>1170</v>
      </c>
      <c r="N151" s="23">
        <v>1800</v>
      </c>
      <c r="O151">
        <v>1</v>
      </c>
      <c r="P151" s="23"/>
      <c r="Q151" s="23"/>
      <c r="R151" s="23">
        <f t="shared" si="2"/>
        <v>0</v>
      </c>
      <c r="S151" t="s">
        <v>23</v>
      </c>
      <c r="T151" t="s">
        <v>24</v>
      </c>
      <c r="U151">
        <v>2026</v>
      </c>
      <c r="V151">
        <v>3026</v>
      </c>
      <c r="W151" t="s">
        <v>68</v>
      </c>
      <c r="X151" t="s">
        <v>31</v>
      </c>
      <c r="Y151">
        <v>26</v>
      </c>
    </row>
    <row r="152" spans="5:25">
      <c r="E152">
        <v>1151</v>
      </c>
      <c r="F152" t="s">
        <v>20</v>
      </c>
      <c r="H152" t="s">
        <v>69</v>
      </c>
      <c r="I152" t="s">
        <v>70</v>
      </c>
      <c r="J152" s="21">
        <v>44984</v>
      </c>
      <c r="M152" s="23">
        <v>1656</v>
      </c>
      <c r="N152" s="23">
        <v>2300</v>
      </c>
      <c r="O152">
        <v>2</v>
      </c>
      <c r="P152" s="23"/>
      <c r="Q152" s="23"/>
      <c r="R152" s="23">
        <f t="shared" si="2"/>
        <v>0</v>
      </c>
      <c r="S152" t="s">
        <v>28</v>
      </c>
      <c r="T152" t="s">
        <v>24</v>
      </c>
      <c r="U152">
        <v>2027</v>
      </c>
      <c r="V152">
        <v>3027</v>
      </c>
      <c r="W152" t="s">
        <v>71</v>
      </c>
      <c r="X152" t="s">
        <v>26</v>
      </c>
      <c r="Y152">
        <v>30</v>
      </c>
    </row>
    <row r="153" spans="5:25">
      <c r="E153">
        <v>1152</v>
      </c>
      <c r="F153" t="s">
        <v>20</v>
      </c>
      <c r="H153" t="s">
        <v>69</v>
      </c>
      <c r="I153" t="s">
        <v>72</v>
      </c>
      <c r="J153" s="21">
        <v>44985</v>
      </c>
      <c r="M153" s="23">
        <v>1872</v>
      </c>
      <c r="N153" s="23">
        <v>2600</v>
      </c>
      <c r="O153">
        <v>1</v>
      </c>
      <c r="P153" s="23"/>
      <c r="Q153" s="23"/>
      <c r="R153" s="23">
        <f t="shared" si="2"/>
        <v>0</v>
      </c>
      <c r="S153" t="s">
        <v>23</v>
      </c>
      <c r="T153" t="s">
        <v>29</v>
      </c>
      <c r="U153">
        <v>2028</v>
      </c>
      <c r="V153">
        <v>3028</v>
      </c>
      <c r="W153" t="s">
        <v>73</v>
      </c>
      <c r="X153" t="s">
        <v>31</v>
      </c>
      <c r="Y153">
        <v>28</v>
      </c>
    </row>
    <row r="154" spans="5:25">
      <c r="E154">
        <v>1153</v>
      </c>
      <c r="F154" t="s">
        <v>20</v>
      </c>
      <c r="H154" t="s">
        <v>21</v>
      </c>
      <c r="I154" t="s">
        <v>22</v>
      </c>
      <c r="J154" s="21">
        <v>44958</v>
      </c>
      <c r="M154" s="23">
        <v>840</v>
      </c>
      <c r="N154" s="23">
        <v>1200</v>
      </c>
      <c r="O154">
        <v>2</v>
      </c>
      <c r="P154" s="23"/>
      <c r="Q154" s="23"/>
      <c r="R154" s="23">
        <f t="shared" si="2"/>
        <v>0</v>
      </c>
      <c r="S154" t="s">
        <v>23</v>
      </c>
      <c r="T154" t="s">
        <v>24</v>
      </c>
      <c r="U154">
        <v>2001</v>
      </c>
      <c r="V154">
        <v>3001</v>
      </c>
      <c r="W154" t="s">
        <v>25</v>
      </c>
      <c r="X154" t="s">
        <v>26</v>
      </c>
      <c r="Y154">
        <v>25</v>
      </c>
    </row>
    <row r="155" spans="5:25">
      <c r="E155">
        <v>1154</v>
      </c>
      <c r="F155" t="s">
        <v>20</v>
      </c>
      <c r="H155" t="s">
        <v>21</v>
      </c>
      <c r="I155" t="s">
        <v>27</v>
      </c>
      <c r="J155" s="21">
        <v>44959</v>
      </c>
      <c r="M155" s="23">
        <v>1050</v>
      </c>
      <c r="N155" s="23">
        <v>1500</v>
      </c>
      <c r="O155">
        <v>1</v>
      </c>
      <c r="P155" s="23"/>
      <c r="Q155" s="23"/>
      <c r="R155" s="23">
        <f t="shared" si="2"/>
        <v>0</v>
      </c>
      <c r="S155" t="s">
        <v>28</v>
      </c>
      <c r="T155" t="s">
        <v>29</v>
      </c>
      <c r="U155">
        <v>2002</v>
      </c>
      <c r="V155">
        <v>3002</v>
      </c>
      <c r="W155" t="s">
        <v>30</v>
      </c>
      <c r="X155" t="s">
        <v>31</v>
      </c>
      <c r="Y155">
        <v>22</v>
      </c>
    </row>
    <row r="156" spans="5:25">
      <c r="E156">
        <v>1155</v>
      </c>
      <c r="F156" t="s">
        <v>32</v>
      </c>
      <c r="H156" t="s">
        <v>33</v>
      </c>
      <c r="I156" t="s">
        <v>34</v>
      </c>
      <c r="J156" s="21">
        <v>44960</v>
      </c>
      <c r="M156" s="23">
        <v>1260</v>
      </c>
      <c r="N156" s="23">
        <v>1800</v>
      </c>
      <c r="O156">
        <v>3</v>
      </c>
      <c r="P156" s="23"/>
      <c r="Q156" s="23"/>
      <c r="R156" s="23">
        <f t="shared" si="2"/>
        <v>0</v>
      </c>
      <c r="S156" t="s">
        <v>23</v>
      </c>
      <c r="T156" t="s">
        <v>35</v>
      </c>
      <c r="U156">
        <v>2003</v>
      </c>
      <c r="V156">
        <v>3003</v>
      </c>
      <c r="W156" t="s">
        <v>36</v>
      </c>
      <c r="X156" t="s">
        <v>26</v>
      </c>
      <c r="Y156">
        <v>18</v>
      </c>
    </row>
    <row r="157" spans="5:25">
      <c r="E157">
        <v>1156</v>
      </c>
      <c r="F157" t="s">
        <v>20</v>
      </c>
      <c r="H157" t="s">
        <v>21</v>
      </c>
      <c r="I157" t="s">
        <v>22</v>
      </c>
      <c r="J157" s="21">
        <v>44986</v>
      </c>
      <c r="M157" s="23">
        <v>840</v>
      </c>
      <c r="N157" s="23">
        <v>1200</v>
      </c>
      <c r="O157">
        <v>2</v>
      </c>
      <c r="P157" s="23"/>
      <c r="Q157" s="23"/>
      <c r="R157" s="23">
        <f t="shared" si="2"/>
        <v>0</v>
      </c>
      <c r="S157" t="s">
        <v>23</v>
      </c>
      <c r="T157" t="s">
        <v>24</v>
      </c>
      <c r="U157">
        <v>2001</v>
      </c>
      <c r="V157">
        <v>3001</v>
      </c>
      <c r="W157" t="s">
        <v>25</v>
      </c>
      <c r="X157" t="s">
        <v>26</v>
      </c>
      <c r="Y157">
        <v>25</v>
      </c>
    </row>
    <row r="158" spans="5:25">
      <c r="E158">
        <v>1157</v>
      </c>
      <c r="F158" t="s">
        <v>20</v>
      </c>
      <c r="H158" t="s">
        <v>21</v>
      </c>
      <c r="I158" t="s">
        <v>27</v>
      </c>
      <c r="J158" s="21">
        <v>44987</v>
      </c>
      <c r="M158" s="23">
        <v>1050</v>
      </c>
      <c r="N158" s="23">
        <v>1500</v>
      </c>
      <c r="O158">
        <v>1</v>
      </c>
      <c r="P158" s="23"/>
      <c r="Q158" s="23"/>
      <c r="R158" s="23">
        <f t="shared" si="2"/>
        <v>0</v>
      </c>
      <c r="S158" t="s">
        <v>28</v>
      </c>
      <c r="T158" t="s">
        <v>29</v>
      </c>
      <c r="U158">
        <v>2002</v>
      </c>
      <c r="V158">
        <v>3002</v>
      </c>
      <c r="W158" t="s">
        <v>30</v>
      </c>
      <c r="X158" t="s">
        <v>31</v>
      </c>
      <c r="Y158">
        <v>22</v>
      </c>
    </row>
    <row r="159" spans="5:25">
      <c r="E159">
        <v>1158</v>
      </c>
      <c r="F159" t="s">
        <v>32</v>
      </c>
      <c r="H159" t="s">
        <v>33</v>
      </c>
      <c r="I159" t="s">
        <v>34</v>
      </c>
      <c r="J159" s="21">
        <v>44988</v>
      </c>
      <c r="M159" s="23">
        <v>1260</v>
      </c>
      <c r="N159" s="23">
        <v>1800</v>
      </c>
      <c r="O159">
        <v>3</v>
      </c>
      <c r="P159" s="23"/>
      <c r="Q159" s="23"/>
      <c r="R159" s="23">
        <f t="shared" si="2"/>
        <v>0</v>
      </c>
      <c r="S159" t="s">
        <v>23</v>
      </c>
      <c r="T159" t="s">
        <v>35</v>
      </c>
      <c r="U159">
        <v>2003</v>
      </c>
      <c r="V159">
        <v>3003</v>
      </c>
      <c r="W159" t="s">
        <v>36</v>
      </c>
      <c r="X159" t="s">
        <v>26</v>
      </c>
      <c r="Y159">
        <v>18</v>
      </c>
    </row>
    <row r="160" spans="5:25">
      <c r="E160">
        <v>1159</v>
      </c>
      <c r="F160" t="s">
        <v>32</v>
      </c>
      <c r="H160" t="s">
        <v>33</v>
      </c>
      <c r="I160" t="s">
        <v>38</v>
      </c>
      <c r="J160" s="21">
        <v>44989</v>
      </c>
      <c r="M160" s="23">
        <v>1470</v>
      </c>
      <c r="N160" s="23">
        <v>2100</v>
      </c>
      <c r="O160">
        <v>1</v>
      </c>
      <c r="P160" s="23"/>
      <c r="Q160" s="23"/>
      <c r="R160" s="23">
        <f t="shared" si="2"/>
        <v>0</v>
      </c>
      <c r="S160" t="s">
        <v>23</v>
      </c>
      <c r="T160" t="s">
        <v>24</v>
      </c>
      <c r="U160">
        <v>2004</v>
      </c>
      <c r="V160">
        <v>3004</v>
      </c>
      <c r="W160" t="s">
        <v>39</v>
      </c>
      <c r="X160" t="s">
        <v>31</v>
      </c>
      <c r="Y160">
        <v>16</v>
      </c>
    </row>
    <row r="161" spans="5:25">
      <c r="E161">
        <v>1160</v>
      </c>
      <c r="F161" t="s">
        <v>40</v>
      </c>
      <c r="H161" t="s">
        <v>41</v>
      </c>
      <c r="I161" t="s">
        <v>42</v>
      </c>
      <c r="J161" s="21">
        <v>44990</v>
      </c>
      <c r="M161" s="23">
        <v>897</v>
      </c>
      <c r="N161" s="23">
        <v>1300</v>
      </c>
      <c r="O161">
        <v>2</v>
      </c>
      <c r="P161" s="23"/>
      <c r="Q161" s="23"/>
      <c r="R161" s="23">
        <f t="shared" si="2"/>
        <v>0</v>
      </c>
      <c r="S161" t="s">
        <v>28</v>
      </c>
      <c r="T161" t="s">
        <v>29</v>
      </c>
      <c r="U161">
        <v>2005</v>
      </c>
      <c r="V161">
        <v>3005</v>
      </c>
      <c r="W161" t="s">
        <v>43</v>
      </c>
      <c r="X161" t="s">
        <v>26</v>
      </c>
      <c r="Y161">
        <v>27</v>
      </c>
    </row>
    <row r="162" spans="5:25">
      <c r="E162">
        <v>1161</v>
      </c>
      <c r="F162" t="s">
        <v>40</v>
      </c>
      <c r="H162" t="s">
        <v>41</v>
      </c>
      <c r="I162" t="s">
        <v>44</v>
      </c>
      <c r="J162" s="21">
        <v>44991</v>
      </c>
      <c r="M162" s="23">
        <v>1104</v>
      </c>
      <c r="N162" s="23">
        <v>1600</v>
      </c>
      <c r="O162">
        <v>1</v>
      </c>
      <c r="P162" s="23"/>
      <c r="Q162" s="23"/>
      <c r="R162" s="23">
        <f t="shared" si="2"/>
        <v>0</v>
      </c>
      <c r="S162" t="s">
        <v>23</v>
      </c>
      <c r="T162" t="s">
        <v>24</v>
      </c>
      <c r="U162">
        <v>2006</v>
      </c>
      <c r="V162">
        <v>3006</v>
      </c>
      <c r="W162" t="s">
        <v>45</v>
      </c>
      <c r="X162" t="s">
        <v>31</v>
      </c>
      <c r="Y162">
        <v>24</v>
      </c>
    </row>
    <row r="163" spans="5:25">
      <c r="E163">
        <v>1162</v>
      </c>
      <c r="F163" t="s">
        <v>20</v>
      </c>
      <c r="H163" t="s">
        <v>46</v>
      </c>
      <c r="I163" t="s">
        <v>47</v>
      </c>
      <c r="J163" s="21">
        <v>44992</v>
      </c>
      <c r="M163" s="23">
        <v>1496</v>
      </c>
      <c r="N163" s="23">
        <v>2200</v>
      </c>
      <c r="O163">
        <v>2</v>
      </c>
      <c r="P163" s="23"/>
      <c r="Q163" s="23"/>
      <c r="R163" s="23">
        <f t="shared" si="2"/>
        <v>0</v>
      </c>
      <c r="S163" t="s">
        <v>28</v>
      </c>
      <c r="T163" t="s">
        <v>24</v>
      </c>
      <c r="U163">
        <v>2007</v>
      </c>
      <c r="V163">
        <v>3007</v>
      </c>
      <c r="W163" t="s">
        <v>48</v>
      </c>
      <c r="X163" t="s">
        <v>26</v>
      </c>
      <c r="Y163">
        <v>29</v>
      </c>
    </row>
    <row r="164" spans="5:25">
      <c r="E164">
        <v>1163</v>
      </c>
      <c r="F164" t="s">
        <v>20</v>
      </c>
      <c r="H164" t="s">
        <v>46</v>
      </c>
      <c r="I164" t="s">
        <v>49</v>
      </c>
      <c r="J164" s="21">
        <v>44993</v>
      </c>
      <c r="M164" s="23">
        <v>1700</v>
      </c>
      <c r="N164" s="23">
        <v>2500</v>
      </c>
      <c r="O164">
        <v>1</v>
      </c>
      <c r="P164" s="23"/>
      <c r="Q164" s="23"/>
      <c r="R164" s="23">
        <f t="shared" si="2"/>
        <v>0</v>
      </c>
      <c r="S164" t="s">
        <v>23</v>
      </c>
      <c r="T164" t="s">
        <v>29</v>
      </c>
      <c r="U164">
        <v>2008</v>
      </c>
      <c r="V164">
        <v>3008</v>
      </c>
      <c r="W164" t="s">
        <v>50</v>
      </c>
      <c r="X164" t="s">
        <v>31</v>
      </c>
      <c r="Y164">
        <v>27</v>
      </c>
    </row>
    <row r="165" spans="5:25">
      <c r="E165">
        <v>1164</v>
      </c>
      <c r="F165" t="s">
        <v>20</v>
      </c>
      <c r="H165" t="s">
        <v>51</v>
      </c>
      <c r="I165" t="s">
        <v>52</v>
      </c>
      <c r="J165" s="21">
        <v>45006</v>
      </c>
      <c r="M165" s="23">
        <v>737</v>
      </c>
      <c r="N165" s="23">
        <v>1100</v>
      </c>
      <c r="O165">
        <v>2</v>
      </c>
      <c r="P165" s="23"/>
      <c r="Q165" s="23"/>
      <c r="R165" s="23">
        <f t="shared" si="2"/>
        <v>0</v>
      </c>
      <c r="S165" t="s">
        <v>23</v>
      </c>
      <c r="T165" t="s">
        <v>24</v>
      </c>
      <c r="U165">
        <v>2021</v>
      </c>
      <c r="V165">
        <v>3021</v>
      </c>
      <c r="W165" t="s">
        <v>53</v>
      </c>
      <c r="X165" t="s">
        <v>26</v>
      </c>
      <c r="Y165">
        <v>24</v>
      </c>
    </row>
    <row r="166" spans="5:25">
      <c r="E166">
        <v>1165</v>
      </c>
      <c r="F166" t="s">
        <v>20</v>
      </c>
      <c r="H166" t="s">
        <v>51</v>
      </c>
      <c r="I166" t="s">
        <v>54</v>
      </c>
      <c r="J166" s="21">
        <v>45007</v>
      </c>
      <c r="M166" s="23">
        <v>938</v>
      </c>
      <c r="N166" s="23">
        <v>1400</v>
      </c>
      <c r="O166">
        <v>1</v>
      </c>
      <c r="P166" s="23"/>
      <c r="Q166" s="23"/>
      <c r="R166" s="23">
        <f t="shared" si="2"/>
        <v>0</v>
      </c>
      <c r="S166" t="s">
        <v>28</v>
      </c>
      <c r="T166" t="s">
        <v>29</v>
      </c>
      <c r="U166">
        <v>2022</v>
      </c>
      <c r="V166">
        <v>3022</v>
      </c>
      <c r="W166" t="s">
        <v>55</v>
      </c>
      <c r="X166" t="s">
        <v>31</v>
      </c>
      <c r="Y166">
        <v>21</v>
      </c>
    </row>
    <row r="167" spans="5:25">
      <c r="E167">
        <v>1166</v>
      </c>
      <c r="F167" t="s">
        <v>32</v>
      </c>
      <c r="H167" t="s">
        <v>57</v>
      </c>
      <c r="I167" t="s">
        <v>58</v>
      </c>
      <c r="J167" s="21">
        <v>45008</v>
      </c>
      <c r="M167" s="23">
        <v>1190</v>
      </c>
      <c r="N167" s="23">
        <v>1700</v>
      </c>
      <c r="O167">
        <v>3</v>
      </c>
      <c r="P167" s="23"/>
      <c r="Q167" s="23"/>
      <c r="R167" s="23">
        <f t="shared" si="2"/>
        <v>0</v>
      </c>
      <c r="S167" t="s">
        <v>23</v>
      </c>
      <c r="T167" t="s">
        <v>35</v>
      </c>
      <c r="U167">
        <v>2023</v>
      </c>
      <c r="V167">
        <v>3023</v>
      </c>
      <c r="W167" t="s">
        <v>59</v>
      </c>
      <c r="X167" t="s">
        <v>26</v>
      </c>
      <c r="Y167">
        <v>20</v>
      </c>
    </row>
    <row r="168" spans="5:25">
      <c r="E168">
        <v>1167</v>
      </c>
      <c r="F168" t="s">
        <v>32</v>
      </c>
      <c r="H168" t="s">
        <v>57</v>
      </c>
      <c r="I168" t="s">
        <v>61</v>
      </c>
      <c r="J168" s="21">
        <v>45009</v>
      </c>
      <c r="M168" s="23">
        <v>1400</v>
      </c>
      <c r="N168" s="23">
        <v>2000</v>
      </c>
      <c r="O168">
        <v>1</v>
      </c>
      <c r="P168" s="23"/>
      <c r="Q168" s="23"/>
      <c r="R168" s="23">
        <f t="shared" si="2"/>
        <v>0</v>
      </c>
      <c r="S168" t="s">
        <v>23</v>
      </c>
      <c r="T168" t="s">
        <v>24</v>
      </c>
      <c r="U168">
        <v>2024</v>
      </c>
      <c r="V168">
        <v>3024</v>
      </c>
      <c r="W168" t="s">
        <v>62</v>
      </c>
      <c r="X168" t="s">
        <v>31</v>
      </c>
      <c r="Y168">
        <v>18</v>
      </c>
    </row>
    <row r="169" spans="5:25">
      <c r="E169">
        <v>1168</v>
      </c>
      <c r="F169" t="s">
        <v>40</v>
      </c>
      <c r="H169" t="s">
        <v>64</v>
      </c>
      <c r="I169" t="s">
        <v>65</v>
      </c>
      <c r="J169" s="21">
        <v>45010</v>
      </c>
      <c r="M169" s="23">
        <v>975</v>
      </c>
      <c r="N169" s="23">
        <v>1500</v>
      </c>
      <c r="O169">
        <v>2</v>
      </c>
      <c r="P169" s="23"/>
      <c r="Q169" s="23"/>
      <c r="R169" s="23">
        <f t="shared" si="2"/>
        <v>0</v>
      </c>
      <c r="S169" t="s">
        <v>28</v>
      </c>
      <c r="T169" t="s">
        <v>29</v>
      </c>
      <c r="U169">
        <v>2025</v>
      </c>
      <c r="V169">
        <v>3025</v>
      </c>
      <c r="W169" t="s">
        <v>66</v>
      </c>
      <c r="X169" t="s">
        <v>26</v>
      </c>
      <c r="Y169">
        <v>28</v>
      </c>
    </row>
    <row r="170" spans="5:25">
      <c r="E170">
        <v>1169</v>
      </c>
      <c r="F170" t="s">
        <v>40</v>
      </c>
      <c r="H170" t="s">
        <v>64</v>
      </c>
      <c r="I170" t="s">
        <v>67</v>
      </c>
      <c r="J170" s="21">
        <v>45011</v>
      </c>
      <c r="M170" s="23">
        <v>1170</v>
      </c>
      <c r="N170" s="23">
        <v>1800</v>
      </c>
      <c r="O170">
        <v>1</v>
      </c>
      <c r="P170" s="23"/>
      <c r="Q170" s="23"/>
      <c r="R170" s="23">
        <f t="shared" si="2"/>
        <v>0</v>
      </c>
      <c r="S170" t="s">
        <v>23</v>
      </c>
      <c r="T170" t="s">
        <v>24</v>
      </c>
      <c r="U170">
        <v>2026</v>
      </c>
      <c r="V170">
        <v>3026</v>
      </c>
      <c r="W170" t="s">
        <v>68</v>
      </c>
      <c r="X170" t="s">
        <v>31</v>
      </c>
      <c r="Y170">
        <v>26</v>
      </c>
    </row>
    <row r="171" spans="5:25">
      <c r="E171">
        <v>1170</v>
      </c>
      <c r="F171" t="s">
        <v>20</v>
      </c>
      <c r="H171" t="s">
        <v>69</v>
      </c>
      <c r="I171" t="s">
        <v>70</v>
      </c>
      <c r="J171" s="21">
        <v>45012</v>
      </c>
      <c r="M171" s="23">
        <v>1656</v>
      </c>
      <c r="N171" s="23">
        <v>2300</v>
      </c>
      <c r="O171">
        <v>2</v>
      </c>
      <c r="P171" s="23"/>
      <c r="Q171" s="23"/>
      <c r="R171" s="23">
        <f t="shared" si="2"/>
        <v>0</v>
      </c>
      <c r="S171" t="s">
        <v>28</v>
      </c>
      <c r="T171" t="s">
        <v>24</v>
      </c>
      <c r="U171">
        <v>2027</v>
      </c>
      <c r="V171">
        <v>3027</v>
      </c>
      <c r="W171" t="s">
        <v>71</v>
      </c>
      <c r="X171" t="s">
        <v>26</v>
      </c>
      <c r="Y171">
        <v>30</v>
      </c>
    </row>
    <row r="172" spans="5:25">
      <c r="E172">
        <v>1171</v>
      </c>
      <c r="F172" t="s">
        <v>20</v>
      </c>
      <c r="H172" t="s">
        <v>69</v>
      </c>
      <c r="I172" t="s">
        <v>72</v>
      </c>
      <c r="J172" s="21">
        <v>45013</v>
      </c>
      <c r="M172" s="23">
        <v>1872</v>
      </c>
      <c r="N172" s="23">
        <v>2600</v>
      </c>
      <c r="O172">
        <v>1</v>
      </c>
      <c r="P172" s="23"/>
      <c r="Q172" s="23"/>
      <c r="R172" s="23">
        <f t="shared" si="2"/>
        <v>0</v>
      </c>
      <c r="S172" t="s">
        <v>23</v>
      </c>
      <c r="T172" t="s">
        <v>29</v>
      </c>
      <c r="U172">
        <v>2028</v>
      </c>
      <c r="V172">
        <v>3028</v>
      </c>
      <c r="W172" t="s">
        <v>73</v>
      </c>
      <c r="X172" t="s">
        <v>31</v>
      </c>
      <c r="Y172">
        <v>28</v>
      </c>
    </row>
    <row r="173" spans="5:25">
      <c r="E173">
        <v>1172</v>
      </c>
      <c r="F173" t="s">
        <v>20</v>
      </c>
      <c r="H173" t="s">
        <v>74</v>
      </c>
      <c r="I173" t="s">
        <v>75</v>
      </c>
      <c r="J173" s="21">
        <v>44996</v>
      </c>
      <c r="M173" s="23">
        <v>780</v>
      </c>
      <c r="N173" s="23">
        <v>1300</v>
      </c>
      <c r="O173">
        <v>2</v>
      </c>
      <c r="P173" s="23"/>
      <c r="Q173" s="23"/>
      <c r="R173" s="23">
        <f t="shared" si="2"/>
        <v>0</v>
      </c>
      <c r="S173" t="s">
        <v>23</v>
      </c>
      <c r="T173" t="s">
        <v>24</v>
      </c>
      <c r="U173">
        <v>2041</v>
      </c>
      <c r="V173">
        <v>3041</v>
      </c>
      <c r="W173" t="s">
        <v>76</v>
      </c>
      <c r="X173" t="s">
        <v>26</v>
      </c>
      <c r="Y173">
        <v>32</v>
      </c>
    </row>
    <row r="174" spans="5:25">
      <c r="E174">
        <v>1173</v>
      </c>
      <c r="F174" t="s">
        <v>20</v>
      </c>
      <c r="H174" t="s">
        <v>74</v>
      </c>
      <c r="I174" t="s">
        <v>77</v>
      </c>
      <c r="J174" s="21">
        <v>44997</v>
      </c>
      <c r="M174" s="23">
        <v>960</v>
      </c>
      <c r="N174" s="23">
        <v>1600</v>
      </c>
      <c r="O174">
        <v>1</v>
      </c>
      <c r="P174" s="23"/>
      <c r="Q174" s="23"/>
      <c r="R174" s="23">
        <f t="shared" si="2"/>
        <v>0</v>
      </c>
      <c r="S174" t="s">
        <v>28</v>
      </c>
      <c r="T174" t="s">
        <v>29</v>
      </c>
      <c r="U174">
        <v>2042</v>
      </c>
      <c r="V174">
        <v>3042</v>
      </c>
      <c r="W174" t="s">
        <v>78</v>
      </c>
      <c r="X174" t="s">
        <v>31</v>
      </c>
      <c r="Y174">
        <v>29</v>
      </c>
    </row>
    <row r="175" spans="5:25">
      <c r="E175">
        <v>1174</v>
      </c>
      <c r="F175" t="s">
        <v>32</v>
      </c>
      <c r="H175" t="s">
        <v>79</v>
      </c>
      <c r="I175" t="s">
        <v>80</v>
      </c>
      <c r="J175" s="21">
        <v>44998</v>
      </c>
      <c r="M175" s="23">
        <v>1292</v>
      </c>
      <c r="N175" s="23">
        <v>1900</v>
      </c>
      <c r="O175">
        <v>3</v>
      </c>
      <c r="P175" s="23"/>
      <c r="Q175" s="23"/>
      <c r="R175" s="23">
        <f t="shared" si="2"/>
        <v>0</v>
      </c>
      <c r="S175" t="s">
        <v>23</v>
      </c>
      <c r="T175" t="s">
        <v>35</v>
      </c>
      <c r="U175">
        <v>2043</v>
      </c>
      <c r="V175">
        <v>3043</v>
      </c>
      <c r="W175" t="s">
        <v>81</v>
      </c>
      <c r="X175" t="s">
        <v>26</v>
      </c>
      <c r="Y175">
        <v>21</v>
      </c>
    </row>
    <row r="176" spans="5:25">
      <c r="E176">
        <v>1175</v>
      </c>
      <c r="F176" t="s">
        <v>32</v>
      </c>
      <c r="H176" t="s">
        <v>79</v>
      </c>
      <c r="I176" t="s">
        <v>82</v>
      </c>
      <c r="J176" s="21">
        <v>44999</v>
      </c>
      <c r="M176" s="23">
        <v>1496</v>
      </c>
      <c r="N176" s="23">
        <v>2200</v>
      </c>
      <c r="O176">
        <v>1</v>
      </c>
      <c r="P176" s="23"/>
      <c r="Q176" s="23"/>
      <c r="R176" s="23">
        <f t="shared" si="2"/>
        <v>0</v>
      </c>
      <c r="S176" t="s">
        <v>23</v>
      </c>
      <c r="T176" t="s">
        <v>24</v>
      </c>
      <c r="U176">
        <v>2044</v>
      </c>
      <c r="V176">
        <v>3044</v>
      </c>
      <c r="W176" t="s">
        <v>83</v>
      </c>
      <c r="X176" t="s">
        <v>31</v>
      </c>
      <c r="Y176">
        <v>19</v>
      </c>
    </row>
    <row r="177" spans="5:25">
      <c r="E177">
        <v>1176</v>
      </c>
      <c r="F177" t="s">
        <v>32</v>
      </c>
      <c r="H177" t="s">
        <v>79</v>
      </c>
      <c r="I177" t="s">
        <v>80</v>
      </c>
      <c r="J177" s="21">
        <v>44605</v>
      </c>
      <c r="M177" s="23">
        <v>1292</v>
      </c>
      <c r="N177" s="23">
        <v>1900</v>
      </c>
      <c r="O177">
        <v>3</v>
      </c>
      <c r="P177" s="23"/>
      <c r="Q177" s="23"/>
      <c r="R177" s="23">
        <f t="shared" si="2"/>
        <v>0</v>
      </c>
      <c r="S177" t="s">
        <v>23</v>
      </c>
      <c r="T177" t="s">
        <v>35</v>
      </c>
      <c r="U177">
        <v>2043</v>
      </c>
      <c r="V177">
        <v>3043</v>
      </c>
      <c r="W177" t="s">
        <v>81</v>
      </c>
      <c r="X177" t="s">
        <v>26</v>
      </c>
      <c r="Y177">
        <v>21</v>
      </c>
    </row>
    <row r="178" spans="5:25">
      <c r="E178">
        <v>1177</v>
      </c>
      <c r="F178" t="s">
        <v>32</v>
      </c>
      <c r="H178" t="s">
        <v>79</v>
      </c>
      <c r="I178" t="s">
        <v>82</v>
      </c>
      <c r="J178" s="21">
        <v>44606</v>
      </c>
      <c r="M178" s="23">
        <v>1496</v>
      </c>
      <c r="N178" s="23">
        <v>2200</v>
      </c>
      <c r="O178">
        <v>1</v>
      </c>
      <c r="P178" s="23"/>
      <c r="Q178" s="23"/>
      <c r="R178" s="23">
        <f t="shared" si="2"/>
        <v>0</v>
      </c>
      <c r="S178" t="s">
        <v>23</v>
      </c>
      <c r="T178" t="s">
        <v>24</v>
      </c>
      <c r="U178">
        <v>2044</v>
      </c>
      <c r="V178">
        <v>3044</v>
      </c>
      <c r="W178" t="s">
        <v>83</v>
      </c>
      <c r="X178" t="s">
        <v>31</v>
      </c>
      <c r="Y178">
        <v>19</v>
      </c>
    </row>
    <row r="179" spans="5:25">
      <c r="E179">
        <v>1178</v>
      </c>
      <c r="F179" t="s">
        <v>40</v>
      </c>
      <c r="H179" t="s">
        <v>84</v>
      </c>
      <c r="I179" t="s">
        <v>85</v>
      </c>
      <c r="J179" s="21">
        <v>44607</v>
      </c>
      <c r="M179" s="23">
        <v>1340</v>
      </c>
      <c r="N179" s="23">
        <v>2000</v>
      </c>
      <c r="O179">
        <v>2</v>
      </c>
      <c r="P179" s="23"/>
      <c r="Q179" s="23"/>
      <c r="R179" s="23">
        <f t="shared" si="2"/>
        <v>0</v>
      </c>
      <c r="S179" t="s">
        <v>28</v>
      </c>
      <c r="T179" t="s">
        <v>29</v>
      </c>
      <c r="U179">
        <v>2045</v>
      </c>
      <c r="V179">
        <v>3045</v>
      </c>
      <c r="W179" t="s">
        <v>86</v>
      </c>
      <c r="X179" t="s">
        <v>26</v>
      </c>
      <c r="Y179">
        <v>36</v>
      </c>
    </row>
    <row r="180" spans="5:25">
      <c r="E180">
        <v>1179</v>
      </c>
      <c r="F180" t="s">
        <v>40</v>
      </c>
      <c r="H180" t="s">
        <v>84</v>
      </c>
      <c r="I180" t="s">
        <v>87</v>
      </c>
      <c r="J180" s="21">
        <v>44608</v>
      </c>
      <c r="M180" s="23">
        <v>1541</v>
      </c>
      <c r="N180" s="23">
        <v>2300</v>
      </c>
      <c r="O180">
        <v>1</v>
      </c>
      <c r="P180" s="23"/>
      <c r="Q180" s="23"/>
      <c r="R180" s="23">
        <f t="shared" si="2"/>
        <v>0</v>
      </c>
      <c r="S180" t="s">
        <v>23</v>
      </c>
      <c r="T180" t="s">
        <v>24</v>
      </c>
      <c r="U180">
        <v>2046</v>
      </c>
      <c r="V180">
        <v>3046</v>
      </c>
      <c r="W180" t="s">
        <v>88</v>
      </c>
      <c r="X180" t="s">
        <v>31</v>
      </c>
      <c r="Y180">
        <v>34</v>
      </c>
    </row>
    <row r="181" spans="5:25">
      <c r="E181">
        <v>1180</v>
      </c>
      <c r="F181" t="s">
        <v>20</v>
      </c>
      <c r="H181" t="s">
        <v>89</v>
      </c>
      <c r="I181" t="s">
        <v>90</v>
      </c>
      <c r="J181" s="21">
        <v>44609</v>
      </c>
      <c r="M181" s="23">
        <v>2250</v>
      </c>
      <c r="N181" s="23">
        <v>3000</v>
      </c>
      <c r="O181">
        <v>2</v>
      </c>
      <c r="P181" s="23"/>
      <c r="Q181" s="23"/>
      <c r="R181" s="23">
        <f t="shared" si="2"/>
        <v>0</v>
      </c>
      <c r="S181" t="s">
        <v>28</v>
      </c>
      <c r="T181" t="s">
        <v>24</v>
      </c>
      <c r="U181">
        <v>2047</v>
      </c>
      <c r="V181">
        <v>3047</v>
      </c>
      <c r="W181" t="s">
        <v>91</v>
      </c>
      <c r="X181" t="s">
        <v>26</v>
      </c>
      <c r="Y181">
        <v>40</v>
      </c>
    </row>
    <row r="182" spans="5:25">
      <c r="E182">
        <v>1181</v>
      </c>
      <c r="F182" t="s">
        <v>20</v>
      </c>
      <c r="H182" t="s">
        <v>89</v>
      </c>
      <c r="I182" t="s">
        <v>92</v>
      </c>
      <c r="J182" s="21">
        <v>44610</v>
      </c>
      <c r="M182" s="23">
        <v>2625</v>
      </c>
      <c r="N182" s="23">
        <v>3500</v>
      </c>
      <c r="O182">
        <v>1</v>
      </c>
      <c r="P182" s="23"/>
      <c r="Q182" s="23"/>
      <c r="R182" s="23">
        <f t="shared" si="2"/>
        <v>0</v>
      </c>
      <c r="S182" t="s">
        <v>23</v>
      </c>
      <c r="T182" t="s">
        <v>29</v>
      </c>
      <c r="U182">
        <v>2048</v>
      </c>
      <c r="V182">
        <v>3048</v>
      </c>
      <c r="W182" t="s">
        <v>93</v>
      </c>
      <c r="X182" t="s">
        <v>31</v>
      </c>
      <c r="Y182">
        <v>38</v>
      </c>
    </row>
    <row r="183" spans="5:25">
      <c r="E183">
        <v>1182</v>
      </c>
      <c r="F183" t="s">
        <v>94</v>
      </c>
      <c r="H183" t="s">
        <v>95</v>
      </c>
      <c r="I183" t="s">
        <v>96</v>
      </c>
      <c r="J183" s="21">
        <v>44593</v>
      </c>
      <c r="M183" s="23">
        <v>1460</v>
      </c>
      <c r="N183" s="23">
        <v>2000</v>
      </c>
      <c r="O183">
        <v>2</v>
      </c>
      <c r="P183" s="23"/>
      <c r="Q183" s="23"/>
      <c r="R183" s="23">
        <f t="shared" si="2"/>
        <v>0</v>
      </c>
      <c r="S183" t="s">
        <v>23</v>
      </c>
      <c r="T183" t="s">
        <v>24</v>
      </c>
      <c r="U183">
        <v>2061</v>
      </c>
      <c r="V183">
        <v>3061</v>
      </c>
      <c r="W183" t="s">
        <v>97</v>
      </c>
      <c r="X183" t="s">
        <v>26</v>
      </c>
      <c r="Y183">
        <v>35</v>
      </c>
    </row>
    <row r="184" spans="5:25">
      <c r="E184">
        <v>1183</v>
      </c>
      <c r="F184" t="s">
        <v>94</v>
      </c>
      <c r="H184" t="s">
        <v>95</v>
      </c>
      <c r="I184" t="s">
        <v>98</v>
      </c>
      <c r="J184" s="21">
        <v>44594</v>
      </c>
      <c r="M184" s="23">
        <v>1825</v>
      </c>
      <c r="N184" s="23">
        <v>2500</v>
      </c>
      <c r="O184">
        <v>1</v>
      </c>
      <c r="P184" s="23"/>
      <c r="Q184" s="23"/>
      <c r="R184" s="23">
        <f t="shared" si="2"/>
        <v>0</v>
      </c>
      <c r="S184" t="s">
        <v>28</v>
      </c>
      <c r="T184" t="s">
        <v>29</v>
      </c>
      <c r="U184">
        <v>2062</v>
      </c>
      <c r="V184">
        <v>3062</v>
      </c>
      <c r="W184" t="s">
        <v>99</v>
      </c>
      <c r="X184" t="s">
        <v>31</v>
      </c>
      <c r="Y184">
        <v>33</v>
      </c>
    </row>
    <row r="185" spans="5:25">
      <c r="E185">
        <v>1184</v>
      </c>
      <c r="F185" t="s">
        <v>32</v>
      </c>
      <c r="H185" t="s">
        <v>100</v>
      </c>
      <c r="I185" t="s">
        <v>101</v>
      </c>
      <c r="J185" s="21">
        <v>44595</v>
      </c>
      <c r="M185" s="23">
        <v>1105</v>
      </c>
      <c r="N185" s="23">
        <v>1700</v>
      </c>
      <c r="O185">
        <v>3</v>
      </c>
      <c r="P185" s="23"/>
      <c r="Q185" s="23"/>
      <c r="R185" s="23">
        <f t="shared" si="2"/>
        <v>0</v>
      </c>
      <c r="S185" t="s">
        <v>23</v>
      </c>
      <c r="T185" t="s">
        <v>35</v>
      </c>
      <c r="U185">
        <v>2063</v>
      </c>
      <c r="V185">
        <v>3063</v>
      </c>
      <c r="W185" t="s">
        <v>102</v>
      </c>
      <c r="X185" t="s">
        <v>26</v>
      </c>
      <c r="Y185">
        <v>22</v>
      </c>
    </row>
    <row r="186" spans="5:25">
      <c r="E186">
        <v>1185</v>
      </c>
      <c r="F186" t="s">
        <v>32</v>
      </c>
      <c r="H186" t="s">
        <v>100</v>
      </c>
      <c r="I186" t="s">
        <v>103</v>
      </c>
      <c r="J186" s="21">
        <v>44596</v>
      </c>
      <c r="M186" s="23">
        <v>1365</v>
      </c>
      <c r="N186" s="23">
        <v>2100</v>
      </c>
      <c r="O186">
        <v>1</v>
      </c>
      <c r="P186" s="23"/>
      <c r="Q186" s="23"/>
      <c r="R186" s="23">
        <f t="shared" si="2"/>
        <v>0</v>
      </c>
      <c r="S186" t="s">
        <v>23</v>
      </c>
      <c r="T186" t="s">
        <v>24</v>
      </c>
      <c r="U186">
        <v>2064</v>
      </c>
      <c r="V186">
        <v>3064</v>
      </c>
      <c r="W186" t="s">
        <v>104</v>
      </c>
      <c r="X186" t="s">
        <v>31</v>
      </c>
      <c r="Y186">
        <v>20</v>
      </c>
    </row>
    <row r="187" spans="5:25">
      <c r="E187">
        <v>1186</v>
      </c>
      <c r="F187" t="s">
        <v>40</v>
      </c>
      <c r="H187" t="s">
        <v>105</v>
      </c>
      <c r="I187" t="s">
        <v>106</v>
      </c>
      <c r="J187" s="21">
        <v>44597</v>
      </c>
      <c r="M187" s="23">
        <v>1035</v>
      </c>
      <c r="N187" s="23">
        <v>1500</v>
      </c>
      <c r="O187">
        <v>2</v>
      </c>
      <c r="P187" s="23"/>
      <c r="Q187" s="23"/>
      <c r="R187" s="23">
        <f t="shared" si="2"/>
        <v>0</v>
      </c>
      <c r="S187" t="s">
        <v>28</v>
      </c>
      <c r="T187" t="s">
        <v>29</v>
      </c>
      <c r="U187">
        <v>2065</v>
      </c>
      <c r="V187">
        <v>3065</v>
      </c>
      <c r="W187" t="s">
        <v>107</v>
      </c>
      <c r="X187" t="s">
        <v>26</v>
      </c>
      <c r="Y187">
        <v>30</v>
      </c>
    </row>
    <row r="188" spans="5:25">
      <c r="E188">
        <v>1187</v>
      </c>
      <c r="F188" t="s">
        <v>40</v>
      </c>
      <c r="H188" t="s">
        <v>105</v>
      </c>
      <c r="I188" t="s">
        <v>108</v>
      </c>
      <c r="J188" s="21">
        <v>44598</v>
      </c>
      <c r="M188" s="23">
        <v>1242</v>
      </c>
      <c r="N188" s="23">
        <v>1800</v>
      </c>
      <c r="O188">
        <v>1</v>
      </c>
      <c r="P188" s="23"/>
      <c r="Q188" s="23"/>
      <c r="R188" s="23">
        <f t="shared" si="2"/>
        <v>0</v>
      </c>
      <c r="S188" t="s">
        <v>23</v>
      </c>
      <c r="T188" t="s">
        <v>24</v>
      </c>
      <c r="U188">
        <v>2066</v>
      </c>
      <c r="V188">
        <v>3066</v>
      </c>
      <c r="W188" t="s">
        <v>109</v>
      </c>
      <c r="X188" t="s">
        <v>31</v>
      </c>
      <c r="Y188">
        <v>28</v>
      </c>
    </row>
    <row r="189" spans="5:25">
      <c r="E189">
        <v>1188</v>
      </c>
      <c r="F189" t="s">
        <v>94</v>
      </c>
      <c r="H189" t="s">
        <v>110</v>
      </c>
      <c r="I189" t="s">
        <v>111</v>
      </c>
      <c r="J189" s="21">
        <v>44599</v>
      </c>
      <c r="M189" s="23">
        <v>2080</v>
      </c>
      <c r="N189" s="23">
        <v>3200</v>
      </c>
      <c r="O189">
        <v>2</v>
      </c>
      <c r="P189" s="23"/>
      <c r="Q189" s="23"/>
      <c r="R189" s="23">
        <f t="shared" si="2"/>
        <v>0</v>
      </c>
      <c r="S189" t="s">
        <v>28</v>
      </c>
      <c r="T189" t="s">
        <v>24</v>
      </c>
      <c r="U189">
        <v>2067</v>
      </c>
      <c r="V189">
        <v>3067</v>
      </c>
      <c r="W189" t="s">
        <v>91</v>
      </c>
      <c r="X189" t="s">
        <v>26</v>
      </c>
      <c r="Y189">
        <v>42</v>
      </c>
    </row>
    <row r="190" spans="5:25">
      <c r="E190">
        <v>1189</v>
      </c>
      <c r="F190" t="s">
        <v>94</v>
      </c>
      <c r="H190" t="s">
        <v>110</v>
      </c>
      <c r="I190" t="s">
        <v>112</v>
      </c>
      <c r="J190" s="21">
        <v>44600</v>
      </c>
      <c r="M190" s="23">
        <v>2405</v>
      </c>
      <c r="N190" s="23">
        <v>3700</v>
      </c>
      <c r="O190">
        <v>1</v>
      </c>
      <c r="P190" s="23"/>
      <c r="Q190" s="23"/>
      <c r="R190" s="23">
        <f t="shared" si="2"/>
        <v>0</v>
      </c>
      <c r="S190" t="s">
        <v>23</v>
      </c>
      <c r="T190" t="s">
        <v>29</v>
      </c>
      <c r="U190">
        <v>2068</v>
      </c>
      <c r="V190">
        <v>3068</v>
      </c>
      <c r="W190" t="s">
        <v>93</v>
      </c>
      <c r="X190" t="s">
        <v>31</v>
      </c>
      <c r="Y190">
        <v>40</v>
      </c>
    </row>
    <row r="191" spans="5:25">
      <c r="E191">
        <v>1190</v>
      </c>
      <c r="F191" t="s">
        <v>20</v>
      </c>
      <c r="H191" t="s">
        <v>21</v>
      </c>
      <c r="I191" t="s">
        <v>22</v>
      </c>
      <c r="J191" s="21">
        <v>44593</v>
      </c>
      <c r="M191" s="23">
        <v>840</v>
      </c>
      <c r="N191" s="23">
        <v>1200</v>
      </c>
      <c r="O191">
        <v>2</v>
      </c>
      <c r="P191" s="23"/>
      <c r="Q191" s="23"/>
      <c r="R191" s="23">
        <f t="shared" si="2"/>
        <v>0</v>
      </c>
      <c r="S191" t="s">
        <v>23</v>
      </c>
      <c r="T191" t="s">
        <v>24</v>
      </c>
      <c r="U191">
        <v>2001</v>
      </c>
      <c r="V191">
        <v>3001</v>
      </c>
      <c r="W191" t="s">
        <v>25</v>
      </c>
      <c r="X191" t="s">
        <v>26</v>
      </c>
      <c r="Y191">
        <v>25</v>
      </c>
    </row>
    <row r="192" spans="5:25">
      <c r="E192">
        <v>1191</v>
      </c>
      <c r="F192" t="s">
        <v>20</v>
      </c>
      <c r="H192" t="s">
        <v>21</v>
      </c>
      <c r="I192" t="s">
        <v>27</v>
      </c>
      <c r="J192" s="21">
        <v>44594</v>
      </c>
      <c r="M192" s="23">
        <v>1050</v>
      </c>
      <c r="N192" s="23">
        <v>1500</v>
      </c>
      <c r="O192">
        <v>1</v>
      </c>
      <c r="P192" s="23"/>
      <c r="Q192" s="23"/>
      <c r="R192" s="23">
        <f t="shared" si="2"/>
        <v>0</v>
      </c>
      <c r="S192" t="s">
        <v>28</v>
      </c>
      <c r="T192" t="s">
        <v>29</v>
      </c>
      <c r="U192">
        <v>2002</v>
      </c>
      <c r="V192">
        <v>3002</v>
      </c>
      <c r="W192" t="s">
        <v>30</v>
      </c>
      <c r="X192" t="s">
        <v>31</v>
      </c>
      <c r="Y192">
        <v>22</v>
      </c>
    </row>
    <row r="193" spans="5:25">
      <c r="E193">
        <v>1192</v>
      </c>
      <c r="F193" t="s">
        <v>32</v>
      </c>
      <c r="H193" t="s">
        <v>33</v>
      </c>
      <c r="I193" t="s">
        <v>34</v>
      </c>
      <c r="J193" s="21">
        <v>44595</v>
      </c>
      <c r="M193" s="23">
        <v>1260</v>
      </c>
      <c r="N193" s="23">
        <v>1800</v>
      </c>
      <c r="O193">
        <v>3</v>
      </c>
      <c r="P193" s="23"/>
      <c r="Q193" s="23"/>
      <c r="R193" s="23">
        <f t="shared" si="2"/>
        <v>0</v>
      </c>
      <c r="S193" t="s">
        <v>23</v>
      </c>
      <c r="T193" t="s">
        <v>35</v>
      </c>
      <c r="U193">
        <v>2003</v>
      </c>
      <c r="V193">
        <v>3003</v>
      </c>
      <c r="W193" t="s">
        <v>36</v>
      </c>
      <c r="X193" t="s">
        <v>26</v>
      </c>
      <c r="Y193">
        <v>18</v>
      </c>
    </row>
    <row r="194" spans="5:25">
      <c r="E194">
        <v>1193</v>
      </c>
      <c r="F194" t="s">
        <v>32</v>
      </c>
      <c r="H194" t="s">
        <v>33</v>
      </c>
      <c r="I194" t="s">
        <v>38</v>
      </c>
      <c r="J194" s="21">
        <v>44596</v>
      </c>
      <c r="M194" s="23">
        <v>1470</v>
      </c>
      <c r="N194" s="23">
        <v>2100</v>
      </c>
      <c r="O194">
        <v>1</v>
      </c>
      <c r="P194" s="23"/>
      <c r="Q194" s="23"/>
      <c r="R194" s="23">
        <f t="shared" si="2"/>
        <v>0</v>
      </c>
      <c r="S194" t="s">
        <v>23</v>
      </c>
      <c r="T194" t="s">
        <v>24</v>
      </c>
      <c r="U194">
        <v>2004</v>
      </c>
      <c r="V194">
        <v>3004</v>
      </c>
      <c r="W194" t="s">
        <v>39</v>
      </c>
      <c r="X194" t="s">
        <v>31</v>
      </c>
      <c r="Y194">
        <v>16</v>
      </c>
    </row>
    <row r="195" spans="5:25">
      <c r="E195">
        <v>1194</v>
      </c>
      <c r="F195" t="s">
        <v>40</v>
      </c>
      <c r="H195" t="s">
        <v>41</v>
      </c>
      <c r="I195" t="s">
        <v>42</v>
      </c>
      <c r="J195" s="21">
        <v>44597</v>
      </c>
      <c r="M195" s="23">
        <v>897</v>
      </c>
      <c r="N195" s="23">
        <v>1300</v>
      </c>
      <c r="O195">
        <v>2</v>
      </c>
      <c r="P195" s="23"/>
      <c r="Q195" s="23"/>
      <c r="R195" s="23">
        <f t="shared" ref="R195:R246" si="3">P195+Q195</f>
        <v>0</v>
      </c>
      <c r="S195" t="s">
        <v>28</v>
      </c>
      <c r="T195" t="s">
        <v>29</v>
      </c>
      <c r="U195">
        <v>2005</v>
      </c>
      <c r="V195">
        <v>3005</v>
      </c>
      <c r="W195" t="s">
        <v>43</v>
      </c>
      <c r="X195" t="s">
        <v>26</v>
      </c>
      <c r="Y195">
        <v>27</v>
      </c>
    </row>
    <row r="196" spans="5:25">
      <c r="E196">
        <v>1195</v>
      </c>
      <c r="F196" t="s">
        <v>40</v>
      </c>
      <c r="H196" t="s">
        <v>41</v>
      </c>
      <c r="I196" t="s">
        <v>44</v>
      </c>
      <c r="J196" s="21">
        <v>44598</v>
      </c>
      <c r="M196" s="23">
        <v>1104</v>
      </c>
      <c r="N196" s="23">
        <v>1600</v>
      </c>
      <c r="O196">
        <v>1</v>
      </c>
      <c r="P196" s="23"/>
      <c r="Q196" s="23"/>
      <c r="R196" s="23">
        <f t="shared" si="3"/>
        <v>0</v>
      </c>
      <c r="S196" t="s">
        <v>23</v>
      </c>
      <c r="T196" t="s">
        <v>24</v>
      </c>
      <c r="U196">
        <v>2006</v>
      </c>
      <c r="V196">
        <v>3006</v>
      </c>
      <c r="W196" t="s">
        <v>45</v>
      </c>
      <c r="X196" t="s">
        <v>31</v>
      </c>
      <c r="Y196">
        <v>24</v>
      </c>
    </row>
    <row r="197" spans="5:25">
      <c r="E197">
        <v>1196</v>
      </c>
      <c r="F197" t="s">
        <v>20</v>
      </c>
      <c r="H197" t="s">
        <v>46</v>
      </c>
      <c r="I197" t="s">
        <v>47</v>
      </c>
      <c r="J197" s="21">
        <v>44599</v>
      </c>
      <c r="M197" s="23">
        <v>1496</v>
      </c>
      <c r="N197" s="23">
        <v>2200</v>
      </c>
      <c r="O197">
        <v>2</v>
      </c>
      <c r="P197" s="23"/>
      <c r="Q197" s="23"/>
      <c r="R197" s="23">
        <f t="shared" si="3"/>
        <v>0</v>
      </c>
      <c r="S197" t="s">
        <v>28</v>
      </c>
      <c r="T197" t="s">
        <v>24</v>
      </c>
      <c r="U197">
        <v>2007</v>
      </c>
      <c r="V197">
        <v>3007</v>
      </c>
      <c r="W197" t="s">
        <v>48</v>
      </c>
      <c r="X197" t="s">
        <v>26</v>
      </c>
      <c r="Y197">
        <v>29</v>
      </c>
    </row>
    <row r="198" spans="5:25">
      <c r="E198">
        <v>1197</v>
      </c>
      <c r="F198" t="s">
        <v>20</v>
      </c>
      <c r="H198" t="s">
        <v>46</v>
      </c>
      <c r="I198" t="s">
        <v>49</v>
      </c>
      <c r="J198" s="21">
        <v>44600</v>
      </c>
      <c r="M198" s="23">
        <v>1700</v>
      </c>
      <c r="N198" s="23">
        <v>2500</v>
      </c>
      <c r="O198">
        <v>1</v>
      </c>
      <c r="P198" s="23"/>
      <c r="Q198" s="23"/>
      <c r="R198" s="23">
        <f t="shared" si="3"/>
        <v>0</v>
      </c>
      <c r="S198" t="s">
        <v>23</v>
      </c>
      <c r="T198" t="s">
        <v>29</v>
      </c>
      <c r="U198">
        <v>2008</v>
      </c>
      <c r="V198">
        <v>3008</v>
      </c>
      <c r="W198" t="s">
        <v>50</v>
      </c>
      <c r="X198" t="s">
        <v>31</v>
      </c>
      <c r="Y198">
        <v>27</v>
      </c>
    </row>
    <row r="199" spans="5:25">
      <c r="E199">
        <v>1198</v>
      </c>
      <c r="F199" t="s">
        <v>20</v>
      </c>
      <c r="H199" t="s">
        <v>46</v>
      </c>
      <c r="I199" t="s">
        <v>47</v>
      </c>
      <c r="J199" s="21">
        <v>44599</v>
      </c>
      <c r="M199" s="23">
        <v>1496</v>
      </c>
      <c r="N199" s="23">
        <v>2200</v>
      </c>
      <c r="O199">
        <v>2</v>
      </c>
      <c r="P199" s="23"/>
      <c r="Q199" s="23"/>
      <c r="R199" s="23">
        <f t="shared" si="3"/>
        <v>0</v>
      </c>
      <c r="S199" t="s">
        <v>28</v>
      </c>
      <c r="T199" t="s">
        <v>24</v>
      </c>
      <c r="U199">
        <v>2007</v>
      </c>
      <c r="V199">
        <v>3007</v>
      </c>
      <c r="W199" t="s">
        <v>48</v>
      </c>
      <c r="X199" t="s">
        <v>26</v>
      </c>
      <c r="Y199">
        <v>29</v>
      </c>
    </row>
    <row r="200" spans="5:25">
      <c r="E200">
        <v>1199</v>
      </c>
      <c r="F200" t="s">
        <v>20</v>
      </c>
      <c r="H200" t="s">
        <v>46</v>
      </c>
      <c r="I200" t="s">
        <v>49</v>
      </c>
      <c r="J200" s="21">
        <v>44600</v>
      </c>
      <c r="M200" s="23">
        <v>1700</v>
      </c>
      <c r="N200" s="23">
        <v>2500</v>
      </c>
      <c r="O200">
        <v>1</v>
      </c>
      <c r="P200" s="23"/>
      <c r="Q200" s="23"/>
      <c r="R200" s="23">
        <f t="shared" si="3"/>
        <v>0</v>
      </c>
      <c r="S200" t="s">
        <v>23</v>
      </c>
      <c r="T200" t="s">
        <v>29</v>
      </c>
      <c r="U200">
        <v>2008</v>
      </c>
      <c r="V200">
        <v>3008</v>
      </c>
      <c r="W200" t="s">
        <v>50</v>
      </c>
      <c r="X200" t="s">
        <v>31</v>
      </c>
      <c r="Y200">
        <v>27</v>
      </c>
    </row>
    <row r="201" spans="5:25">
      <c r="E201">
        <v>1200</v>
      </c>
      <c r="F201" t="s">
        <v>20</v>
      </c>
      <c r="H201" t="s">
        <v>51</v>
      </c>
      <c r="I201" t="s">
        <v>52</v>
      </c>
      <c r="J201" s="21">
        <v>44613</v>
      </c>
      <c r="M201" s="23">
        <v>737</v>
      </c>
      <c r="N201" s="23">
        <v>1100</v>
      </c>
      <c r="O201">
        <v>2</v>
      </c>
      <c r="P201" s="23"/>
      <c r="Q201" s="23"/>
      <c r="R201" s="23">
        <f t="shared" si="3"/>
        <v>0</v>
      </c>
      <c r="S201" t="s">
        <v>23</v>
      </c>
      <c r="T201" t="s">
        <v>24</v>
      </c>
      <c r="U201">
        <v>2021</v>
      </c>
      <c r="V201">
        <v>3021</v>
      </c>
      <c r="W201" t="s">
        <v>53</v>
      </c>
      <c r="X201" t="s">
        <v>26</v>
      </c>
      <c r="Y201">
        <v>24</v>
      </c>
    </row>
    <row r="202" spans="5:25">
      <c r="E202">
        <v>1201</v>
      </c>
      <c r="F202" t="s">
        <v>20</v>
      </c>
      <c r="H202" t="s">
        <v>51</v>
      </c>
      <c r="I202" t="s">
        <v>54</v>
      </c>
      <c r="J202" s="21">
        <v>44614</v>
      </c>
      <c r="M202" s="23">
        <v>938</v>
      </c>
      <c r="N202" s="23">
        <v>1400</v>
      </c>
      <c r="O202">
        <v>1</v>
      </c>
      <c r="P202" s="23"/>
      <c r="Q202" s="23"/>
      <c r="R202" s="23">
        <f t="shared" si="3"/>
        <v>0</v>
      </c>
      <c r="S202" t="s">
        <v>28</v>
      </c>
      <c r="T202" t="s">
        <v>29</v>
      </c>
      <c r="U202">
        <v>2022</v>
      </c>
      <c r="V202">
        <v>3022</v>
      </c>
      <c r="W202" t="s">
        <v>55</v>
      </c>
      <c r="X202" t="s">
        <v>31</v>
      </c>
      <c r="Y202">
        <v>21</v>
      </c>
    </row>
    <row r="203" spans="5:25">
      <c r="E203">
        <v>1202</v>
      </c>
      <c r="F203" t="s">
        <v>32</v>
      </c>
      <c r="H203" t="s">
        <v>57</v>
      </c>
      <c r="I203" t="s">
        <v>58</v>
      </c>
      <c r="J203" s="21">
        <v>44615</v>
      </c>
      <c r="M203" s="23">
        <v>1190</v>
      </c>
      <c r="N203" s="23">
        <v>1700</v>
      </c>
      <c r="O203">
        <v>3</v>
      </c>
      <c r="P203" s="23"/>
      <c r="Q203" s="23"/>
      <c r="R203" s="23">
        <f t="shared" si="3"/>
        <v>0</v>
      </c>
      <c r="S203" t="s">
        <v>23</v>
      </c>
      <c r="T203" t="s">
        <v>35</v>
      </c>
      <c r="U203">
        <v>2023</v>
      </c>
      <c r="V203">
        <v>3023</v>
      </c>
      <c r="W203" t="s">
        <v>59</v>
      </c>
      <c r="X203" t="s">
        <v>26</v>
      </c>
      <c r="Y203">
        <v>20</v>
      </c>
    </row>
    <row r="204" spans="5:25">
      <c r="E204">
        <v>1203</v>
      </c>
      <c r="F204" t="s">
        <v>32</v>
      </c>
      <c r="H204" t="s">
        <v>57</v>
      </c>
      <c r="I204" t="s">
        <v>61</v>
      </c>
      <c r="J204" s="21">
        <v>44616</v>
      </c>
      <c r="M204" s="23">
        <v>1400</v>
      </c>
      <c r="N204" s="23">
        <v>2000</v>
      </c>
      <c r="O204">
        <v>1</v>
      </c>
      <c r="P204" s="23"/>
      <c r="Q204" s="23"/>
      <c r="R204" s="23">
        <f t="shared" si="3"/>
        <v>0</v>
      </c>
      <c r="S204" t="s">
        <v>23</v>
      </c>
      <c r="T204" t="s">
        <v>24</v>
      </c>
      <c r="U204">
        <v>2024</v>
      </c>
      <c r="V204">
        <v>3024</v>
      </c>
      <c r="W204" t="s">
        <v>62</v>
      </c>
      <c r="X204" t="s">
        <v>31</v>
      </c>
      <c r="Y204">
        <v>18</v>
      </c>
    </row>
    <row r="205" spans="5:25">
      <c r="E205">
        <v>1204</v>
      </c>
      <c r="F205" t="s">
        <v>40</v>
      </c>
      <c r="H205" t="s">
        <v>64</v>
      </c>
      <c r="I205" t="s">
        <v>65</v>
      </c>
      <c r="J205" s="21">
        <v>44617</v>
      </c>
      <c r="M205" s="23">
        <v>975</v>
      </c>
      <c r="N205" s="23">
        <v>1500</v>
      </c>
      <c r="O205">
        <v>2</v>
      </c>
      <c r="P205" s="23"/>
      <c r="Q205" s="23"/>
      <c r="R205" s="23">
        <f t="shared" si="3"/>
        <v>0</v>
      </c>
      <c r="S205" t="s">
        <v>28</v>
      </c>
      <c r="T205" t="s">
        <v>29</v>
      </c>
      <c r="U205">
        <v>2025</v>
      </c>
      <c r="V205">
        <v>3025</v>
      </c>
      <c r="W205" t="s">
        <v>66</v>
      </c>
      <c r="X205" t="s">
        <v>26</v>
      </c>
      <c r="Y205">
        <v>28</v>
      </c>
    </row>
    <row r="206" spans="5:25">
      <c r="E206">
        <v>1205</v>
      </c>
      <c r="F206" t="s">
        <v>40</v>
      </c>
      <c r="H206" t="s">
        <v>64</v>
      </c>
      <c r="I206" t="s">
        <v>67</v>
      </c>
      <c r="J206" s="21">
        <v>44618</v>
      </c>
      <c r="M206" s="23">
        <v>1170</v>
      </c>
      <c r="N206" s="23">
        <v>1800</v>
      </c>
      <c r="O206">
        <v>1</v>
      </c>
      <c r="P206" s="23"/>
      <c r="Q206" s="23"/>
      <c r="R206" s="23">
        <f t="shared" si="3"/>
        <v>0</v>
      </c>
      <c r="S206" t="s">
        <v>23</v>
      </c>
      <c r="T206" t="s">
        <v>24</v>
      </c>
      <c r="U206">
        <v>2026</v>
      </c>
      <c r="V206">
        <v>3026</v>
      </c>
      <c r="W206" t="s">
        <v>68</v>
      </c>
      <c r="X206" t="s">
        <v>31</v>
      </c>
      <c r="Y206">
        <v>26</v>
      </c>
    </row>
    <row r="207" spans="5:25">
      <c r="E207">
        <v>1206</v>
      </c>
      <c r="F207" t="s">
        <v>20</v>
      </c>
      <c r="H207" t="s">
        <v>69</v>
      </c>
      <c r="I207" t="s">
        <v>70</v>
      </c>
      <c r="J207" s="21">
        <v>44619</v>
      </c>
      <c r="M207" s="23">
        <v>1656</v>
      </c>
      <c r="N207" s="23">
        <v>2300</v>
      </c>
      <c r="O207">
        <v>2</v>
      </c>
      <c r="P207" s="23"/>
      <c r="Q207" s="23"/>
      <c r="R207" s="23">
        <f t="shared" si="3"/>
        <v>0</v>
      </c>
      <c r="S207" t="s">
        <v>28</v>
      </c>
      <c r="T207" t="s">
        <v>24</v>
      </c>
      <c r="U207">
        <v>2027</v>
      </c>
      <c r="V207">
        <v>3027</v>
      </c>
      <c r="W207" t="s">
        <v>71</v>
      </c>
      <c r="X207" t="s">
        <v>26</v>
      </c>
      <c r="Y207">
        <v>30</v>
      </c>
    </row>
    <row r="208" spans="5:25">
      <c r="E208">
        <v>1207</v>
      </c>
      <c r="F208" t="s">
        <v>20</v>
      </c>
      <c r="H208" t="s">
        <v>69</v>
      </c>
      <c r="I208" t="s">
        <v>72</v>
      </c>
      <c r="J208" s="21">
        <v>44620</v>
      </c>
      <c r="M208" s="23">
        <v>1872</v>
      </c>
      <c r="N208" s="23">
        <v>2600</v>
      </c>
      <c r="O208">
        <v>1</v>
      </c>
      <c r="P208" s="23"/>
      <c r="Q208" s="23"/>
      <c r="R208" s="23">
        <f t="shared" si="3"/>
        <v>0</v>
      </c>
      <c r="S208" t="s">
        <v>23</v>
      </c>
      <c r="T208" t="s">
        <v>29</v>
      </c>
      <c r="U208">
        <v>2028</v>
      </c>
      <c r="V208">
        <v>3028</v>
      </c>
      <c r="W208" t="s">
        <v>73</v>
      </c>
      <c r="X208" t="s">
        <v>31</v>
      </c>
      <c r="Y208">
        <v>28</v>
      </c>
    </row>
    <row r="209" spans="5:25">
      <c r="E209">
        <v>1208</v>
      </c>
      <c r="F209" t="s">
        <v>20</v>
      </c>
      <c r="H209" t="s">
        <v>74</v>
      </c>
      <c r="I209" t="s">
        <v>75</v>
      </c>
      <c r="J209" s="21">
        <v>44603</v>
      </c>
      <c r="M209" s="23">
        <v>780</v>
      </c>
      <c r="N209" s="23">
        <v>1300</v>
      </c>
      <c r="O209">
        <v>2</v>
      </c>
      <c r="P209" s="23"/>
      <c r="Q209" s="23"/>
      <c r="R209" s="23">
        <f t="shared" si="3"/>
        <v>0</v>
      </c>
      <c r="S209" t="s">
        <v>23</v>
      </c>
      <c r="T209" t="s">
        <v>24</v>
      </c>
      <c r="U209">
        <v>2041</v>
      </c>
      <c r="V209">
        <v>3041</v>
      </c>
      <c r="W209" t="s">
        <v>76</v>
      </c>
      <c r="X209" t="s">
        <v>26</v>
      </c>
      <c r="Y209">
        <v>32</v>
      </c>
    </row>
    <row r="210" spans="5:25">
      <c r="E210">
        <v>1209</v>
      </c>
      <c r="F210" t="s">
        <v>20</v>
      </c>
      <c r="H210" t="s">
        <v>74</v>
      </c>
      <c r="I210" t="s">
        <v>77</v>
      </c>
      <c r="J210" s="21">
        <v>44604</v>
      </c>
      <c r="M210" s="23">
        <v>960</v>
      </c>
      <c r="N210" s="23">
        <v>1600</v>
      </c>
      <c r="O210">
        <v>1</v>
      </c>
      <c r="P210" s="23"/>
      <c r="Q210" s="23"/>
      <c r="R210" s="23">
        <f t="shared" si="3"/>
        <v>0</v>
      </c>
      <c r="S210" t="s">
        <v>28</v>
      </c>
      <c r="T210" t="s">
        <v>29</v>
      </c>
      <c r="U210">
        <v>2042</v>
      </c>
      <c r="V210">
        <v>3042</v>
      </c>
      <c r="W210" t="s">
        <v>78</v>
      </c>
      <c r="X210" t="s">
        <v>31</v>
      </c>
      <c r="Y210">
        <v>29</v>
      </c>
    </row>
    <row r="211" spans="5:25">
      <c r="E211">
        <v>1210</v>
      </c>
      <c r="F211" t="s">
        <v>32</v>
      </c>
      <c r="H211" t="s">
        <v>57</v>
      </c>
      <c r="I211" t="s">
        <v>58</v>
      </c>
      <c r="J211" s="21">
        <v>44643</v>
      </c>
      <c r="M211" s="23">
        <v>1190</v>
      </c>
      <c r="N211" s="23">
        <v>1700</v>
      </c>
      <c r="O211">
        <v>3</v>
      </c>
      <c r="P211" s="23"/>
      <c r="Q211" s="23"/>
      <c r="R211" s="23">
        <f t="shared" si="3"/>
        <v>0</v>
      </c>
      <c r="S211" t="s">
        <v>23</v>
      </c>
      <c r="T211" t="s">
        <v>35</v>
      </c>
      <c r="U211">
        <v>2023</v>
      </c>
      <c r="V211">
        <v>3023</v>
      </c>
      <c r="W211" t="s">
        <v>59</v>
      </c>
      <c r="X211" t="s">
        <v>26</v>
      </c>
      <c r="Y211">
        <v>20</v>
      </c>
    </row>
    <row r="212" spans="5:25">
      <c r="E212">
        <v>1211</v>
      </c>
      <c r="F212" t="s">
        <v>32</v>
      </c>
      <c r="H212" t="s">
        <v>57</v>
      </c>
      <c r="I212" t="s">
        <v>61</v>
      </c>
      <c r="J212" s="21">
        <v>44644</v>
      </c>
      <c r="M212" s="23">
        <v>1400</v>
      </c>
      <c r="N212" s="23">
        <v>2000</v>
      </c>
      <c r="O212">
        <v>1</v>
      </c>
      <c r="P212" s="23"/>
      <c r="Q212" s="23"/>
      <c r="R212" s="23">
        <f t="shared" si="3"/>
        <v>0</v>
      </c>
      <c r="S212" t="s">
        <v>23</v>
      </c>
      <c r="T212" t="s">
        <v>24</v>
      </c>
      <c r="U212">
        <v>2024</v>
      </c>
      <c r="V212">
        <v>3024</v>
      </c>
      <c r="W212" t="s">
        <v>62</v>
      </c>
      <c r="X212" t="s">
        <v>31</v>
      </c>
      <c r="Y212">
        <v>18</v>
      </c>
    </row>
    <row r="213" spans="5:25">
      <c r="E213">
        <v>1212</v>
      </c>
      <c r="F213" t="s">
        <v>40</v>
      </c>
      <c r="H213" t="s">
        <v>64</v>
      </c>
      <c r="I213" t="s">
        <v>65</v>
      </c>
      <c r="J213" s="21">
        <v>44645</v>
      </c>
      <c r="M213" s="23">
        <v>975</v>
      </c>
      <c r="N213" s="23">
        <v>1500</v>
      </c>
      <c r="O213">
        <v>2</v>
      </c>
      <c r="P213" s="23"/>
      <c r="Q213" s="23"/>
      <c r="R213" s="23">
        <f t="shared" si="3"/>
        <v>0</v>
      </c>
      <c r="S213" t="s">
        <v>28</v>
      </c>
      <c r="T213" t="s">
        <v>29</v>
      </c>
      <c r="U213">
        <v>2025</v>
      </c>
      <c r="V213">
        <v>3025</v>
      </c>
      <c r="W213" t="s">
        <v>66</v>
      </c>
      <c r="X213" t="s">
        <v>26</v>
      </c>
      <c r="Y213">
        <v>28</v>
      </c>
    </row>
    <row r="214" spans="5:25">
      <c r="E214">
        <v>1213</v>
      </c>
      <c r="F214" t="s">
        <v>40</v>
      </c>
      <c r="H214" t="s">
        <v>64</v>
      </c>
      <c r="I214" t="s">
        <v>67</v>
      </c>
      <c r="J214" s="21">
        <v>44646</v>
      </c>
      <c r="M214" s="23">
        <v>1170</v>
      </c>
      <c r="N214" s="23">
        <v>1800</v>
      </c>
      <c r="O214">
        <v>1</v>
      </c>
      <c r="P214" s="23"/>
      <c r="Q214" s="23"/>
      <c r="R214" s="23">
        <f t="shared" si="3"/>
        <v>0</v>
      </c>
      <c r="S214" t="s">
        <v>23</v>
      </c>
      <c r="T214" t="s">
        <v>24</v>
      </c>
      <c r="U214">
        <v>2026</v>
      </c>
      <c r="V214">
        <v>3026</v>
      </c>
      <c r="W214" t="s">
        <v>68</v>
      </c>
      <c r="X214" t="s">
        <v>31</v>
      </c>
      <c r="Y214">
        <v>26</v>
      </c>
    </row>
    <row r="215" spans="5:25">
      <c r="E215">
        <v>1214</v>
      </c>
      <c r="F215" t="s">
        <v>20</v>
      </c>
      <c r="H215" t="s">
        <v>69</v>
      </c>
      <c r="I215" t="s">
        <v>70</v>
      </c>
      <c r="J215" s="21">
        <v>44647</v>
      </c>
      <c r="M215" s="23">
        <v>1656</v>
      </c>
      <c r="N215" s="23">
        <v>2300</v>
      </c>
      <c r="O215">
        <v>2</v>
      </c>
      <c r="P215" s="23"/>
      <c r="Q215" s="23"/>
      <c r="R215" s="23">
        <f t="shared" si="3"/>
        <v>0</v>
      </c>
      <c r="S215" t="s">
        <v>28</v>
      </c>
      <c r="T215" t="s">
        <v>24</v>
      </c>
      <c r="U215">
        <v>2027</v>
      </c>
      <c r="V215">
        <v>3027</v>
      </c>
      <c r="W215" t="s">
        <v>71</v>
      </c>
      <c r="X215" t="s">
        <v>26</v>
      </c>
      <c r="Y215">
        <v>30</v>
      </c>
    </row>
    <row r="216" spans="5:25">
      <c r="E216">
        <v>1215</v>
      </c>
      <c r="F216" t="s">
        <v>20</v>
      </c>
      <c r="H216" t="s">
        <v>69</v>
      </c>
      <c r="I216" t="s">
        <v>72</v>
      </c>
      <c r="J216" s="21">
        <v>44648</v>
      </c>
      <c r="M216" s="23">
        <v>1872</v>
      </c>
      <c r="N216" s="23">
        <v>2600</v>
      </c>
      <c r="O216">
        <v>1</v>
      </c>
      <c r="P216" s="23"/>
      <c r="Q216" s="23"/>
      <c r="R216" s="23">
        <f t="shared" si="3"/>
        <v>0</v>
      </c>
      <c r="S216" t="s">
        <v>23</v>
      </c>
      <c r="T216" t="s">
        <v>29</v>
      </c>
      <c r="U216">
        <v>2028</v>
      </c>
      <c r="V216">
        <v>3028</v>
      </c>
      <c r="W216" t="s">
        <v>73</v>
      </c>
      <c r="X216" t="s">
        <v>31</v>
      </c>
      <c r="Y216">
        <v>28</v>
      </c>
    </row>
    <row r="217" spans="5:25">
      <c r="E217">
        <v>1216</v>
      </c>
      <c r="F217" t="s">
        <v>20</v>
      </c>
      <c r="H217" t="s">
        <v>21</v>
      </c>
      <c r="I217" t="s">
        <v>22</v>
      </c>
      <c r="J217" s="21">
        <v>44621</v>
      </c>
      <c r="M217" s="23">
        <v>840</v>
      </c>
      <c r="N217" s="23">
        <v>1200</v>
      </c>
      <c r="O217">
        <v>2</v>
      </c>
      <c r="P217" s="23"/>
      <c r="Q217" s="23"/>
      <c r="R217" s="23">
        <f t="shared" si="3"/>
        <v>0</v>
      </c>
      <c r="S217" t="s">
        <v>23</v>
      </c>
      <c r="T217" t="s">
        <v>24</v>
      </c>
      <c r="U217">
        <v>2001</v>
      </c>
      <c r="V217">
        <v>3001</v>
      </c>
      <c r="W217" t="s">
        <v>25</v>
      </c>
      <c r="X217" t="s">
        <v>26</v>
      </c>
      <c r="Y217">
        <v>25</v>
      </c>
    </row>
    <row r="218" spans="5:25">
      <c r="E218">
        <v>1217</v>
      </c>
      <c r="F218" t="s">
        <v>20</v>
      </c>
      <c r="H218" t="s">
        <v>21</v>
      </c>
      <c r="I218" t="s">
        <v>27</v>
      </c>
      <c r="J218" s="21">
        <v>44622</v>
      </c>
      <c r="M218" s="23">
        <v>1050</v>
      </c>
      <c r="N218" s="23">
        <v>1500</v>
      </c>
      <c r="O218">
        <v>1</v>
      </c>
      <c r="P218" s="23"/>
      <c r="Q218" s="23"/>
      <c r="R218" s="23">
        <f t="shared" si="3"/>
        <v>0</v>
      </c>
      <c r="S218" t="s">
        <v>28</v>
      </c>
      <c r="T218" t="s">
        <v>29</v>
      </c>
      <c r="U218">
        <v>2002</v>
      </c>
      <c r="V218">
        <v>3002</v>
      </c>
      <c r="W218" t="s">
        <v>30</v>
      </c>
      <c r="X218" t="s">
        <v>31</v>
      </c>
      <c r="Y218">
        <v>22</v>
      </c>
    </row>
    <row r="219" spans="5:25">
      <c r="E219">
        <v>1218</v>
      </c>
      <c r="F219" t="s">
        <v>32</v>
      </c>
      <c r="H219" t="s">
        <v>33</v>
      </c>
      <c r="I219" t="s">
        <v>34</v>
      </c>
      <c r="J219" s="21">
        <v>44623</v>
      </c>
      <c r="M219" s="23">
        <v>1260</v>
      </c>
      <c r="N219" s="23">
        <v>1800</v>
      </c>
      <c r="O219">
        <v>3</v>
      </c>
      <c r="P219" s="23"/>
      <c r="Q219" s="23"/>
      <c r="R219" s="23">
        <f t="shared" si="3"/>
        <v>0</v>
      </c>
      <c r="S219" t="s">
        <v>23</v>
      </c>
      <c r="T219" t="s">
        <v>35</v>
      </c>
      <c r="U219">
        <v>2003</v>
      </c>
      <c r="V219">
        <v>3003</v>
      </c>
      <c r="W219" t="s">
        <v>36</v>
      </c>
      <c r="X219" t="s">
        <v>26</v>
      </c>
      <c r="Y219">
        <v>18</v>
      </c>
    </row>
    <row r="220" spans="5:25">
      <c r="E220">
        <v>1219</v>
      </c>
      <c r="F220" t="s">
        <v>32</v>
      </c>
      <c r="H220" t="s">
        <v>33</v>
      </c>
      <c r="I220" t="s">
        <v>38</v>
      </c>
      <c r="J220" s="21">
        <v>44624</v>
      </c>
      <c r="M220" s="23">
        <v>1470</v>
      </c>
      <c r="N220" s="23">
        <v>2100</v>
      </c>
      <c r="O220">
        <v>1</v>
      </c>
      <c r="P220" s="23"/>
      <c r="Q220" s="23"/>
      <c r="R220" s="23">
        <f t="shared" si="3"/>
        <v>0</v>
      </c>
      <c r="S220" t="s">
        <v>23</v>
      </c>
      <c r="T220" t="s">
        <v>24</v>
      </c>
      <c r="U220">
        <v>2004</v>
      </c>
      <c r="V220">
        <v>3004</v>
      </c>
      <c r="W220" t="s">
        <v>39</v>
      </c>
      <c r="X220" t="s">
        <v>31</v>
      </c>
      <c r="Y220">
        <v>16</v>
      </c>
    </row>
    <row r="221" spans="5:25">
      <c r="E221">
        <v>1220</v>
      </c>
      <c r="F221" t="s">
        <v>40</v>
      </c>
      <c r="H221" t="s">
        <v>41</v>
      </c>
      <c r="I221" t="s">
        <v>42</v>
      </c>
      <c r="J221" s="21">
        <v>44625</v>
      </c>
      <c r="M221" s="23">
        <v>897</v>
      </c>
      <c r="N221" s="23">
        <v>1300</v>
      </c>
      <c r="O221">
        <v>2</v>
      </c>
      <c r="P221" s="23"/>
      <c r="Q221" s="23"/>
      <c r="R221" s="23">
        <f t="shared" si="3"/>
        <v>0</v>
      </c>
      <c r="S221" t="s">
        <v>28</v>
      </c>
      <c r="T221" t="s">
        <v>29</v>
      </c>
      <c r="U221">
        <v>2005</v>
      </c>
      <c r="V221">
        <v>3005</v>
      </c>
      <c r="W221" t="s">
        <v>43</v>
      </c>
      <c r="X221" t="s">
        <v>26</v>
      </c>
      <c r="Y221">
        <v>27</v>
      </c>
    </row>
    <row r="222" spans="5:25">
      <c r="E222">
        <v>1221</v>
      </c>
      <c r="F222" t="s">
        <v>40</v>
      </c>
      <c r="H222" t="s">
        <v>41</v>
      </c>
      <c r="I222" t="s">
        <v>44</v>
      </c>
      <c r="J222" s="21">
        <v>44626</v>
      </c>
      <c r="M222" s="23">
        <v>1104</v>
      </c>
      <c r="N222" s="23">
        <v>1600</v>
      </c>
      <c r="O222">
        <v>1</v>
      </c>
      <c r="P222" s="23"/>
      <c r="Q222" s="23"/>
      <c r="R222" s="23">
        <f t="shared" si="3"/>
        <v>0</v>
      </c>
      <c r="S222" t="s">
        <v>23</v>
      </c>
      <c r="T222" t="s">
        <v>24</v>
      </c>
      <c r="U222">
        <v>2006</v>
      </c>
      <c r="V222">
        <v>3006</v>
      </c>
      <c r="W222" t="s">
        <v>45</v>
      </c>
      <c r="X222" t="s">
        <v>31</v>
      </c>
      <c r="Y222">
        <v>24</v>
      </c>
    </row>
    <row r="223" spans="5:25">
      <c r="E223">
        <v>1222</v>
      </c>
      <c r="F223" t="s">
        <v>20</v>
      </c>
      <c r="H223" t="s">
        <v>46</v>
      </c>
      <c r="I223" t="s">
        <v>47</v>
      </c>
      <c r="J223" s="21">
        <v>44627</v>
      </c>
      <c r="M223" s="23">
        <v>1496</v>
      </c>
      <c r="N223" s="23">
        <v>2200</v>
      </c>
      <c r="O223">
        <v>2</v>
      </c>
      <c r="P223" s="23"/>
      <c r="Q223" s="23"/>
      <c r="R223" s="23">
        <f t="shared" si="3"/>
        <v>0</v>
      </c>
      <c r="S223" t="s">
        <v>28</v>
      </c>
      <c r="T223" t="s">
        <v>24</v>
      </c>
      <c r="U223">
        <v>2007</v>
      </c>
      <c r="V223">
        <v>3007</v>
      </c>
      <c r="W223" t="s">
        <v>48</v>
      </c>
      <c r="X223" t="s">
        <v>26</v>
      </c>
      <c r="Y223">
        <v>29</v>
      </c>
    </row>
    <row r="224" spans="5:25">
      <c r="E224">
        <v>1223</v>
      </c>
      <c r="F224" t="s">
        <v>20</v>
      </c>
      <c r="H224" t="s">
        <v>46</v>
      </c>
      <c r="I224" t="s">
        <v>49</v>
      </c>
      <c r="J224" s="21">
        <v>44628</v>
      </c>
      <c r="M224" s="23">
        <v>1700</v>
      </c>
      <c r="N224" s="23">
        <v>2500</v>
      </c>
      <c r="O224">
        <v>1</v>
      </c>
      <c r="P224" s="23"/>
      <c r="Q224" s="23"/>
      <c r="R224" s="23">
        <f t="shared" si="3"/>
        <v>0</v>
      </c>
      <c r="S224" t="s">
        <v>23</v>
      </c>
      <c r="T224" t="s">
        <v>29</v>
      </c>
      <c r="U224">
        <v>2008</v>
      </c>
      <c r="V224">
        <v>3008</v>
      </c>
      <c r="W224" t="s">
        <v>50</v>
      </c>
      <c r="X224" t="s">
        <v>31</v>
      </c>
      <c r="Y224">
        <v>27</v>
      </c>
    </row>
    <row r="225" spans="5:25">
      <c r="E225">
        <v>1224</v>
      </c>
      <c r="F225" t="s">
        <v>20</v>
      </c>
      <c r="H225" t="s">
        <v>51</v>
      </c>
      <c r="I225" t="s">
        <v>52</v>
      </c>
      <c r="J225" s="21">
        <v>44641</v>
      </c>
      <c r="M225" s="23">
        <v>737</v>
      </c>
      <c r="N225" s="23">
        <v>1100</v>
      </c>
      <c r="O225">
        <v>2</v>
      </c>
      <c r="P225" s="23"/>
      <c r="Q225" s="23"/>
      <c r="R225" s="23">
        <f t="shared" si="3"/>
        <v>0</v>
      </c>
      <c r="S225" t="s">
        <v>23</v>
      </c>
      <c r="T225" t="s">
        <v>24</v>
      </c>
      <c r="U225">
        <v>2021</v>
      </c>
      <c r="V225">
        <v>3021</v>
      </c>
      <c r="W225" t="s">
        <v>53</v>
      </c>
      <c r="X225" t="s">
        <v>26</v>
      </c>
      <c r="Y225">
        <v>24</v>
      </c>
    </row>
    <row r="226" spans="5:25">
      <c r="E226">
        <v>1225</v>
      </c>
      <c r="F226" t="s">
        <v>20</v>
      </c>
      <c r="H226" t="s">
        <v>51</v>
      </c>
      <c r="I226" t="s">
        <v>54</v>
      </c>
      <c r="J226" s="21">
        <v>44642</v>
      </c>
      <c r="M226" s="23">
        <v>938</v>
      </c>
      <c r="N226" s="23">
        <v>1400</v>
      </c>
      <c r="O226">
        <v>1</v>
      </c>
      <c r="P226" s="23"/>
      <c r="Q226" s="23"/>
      <c r="R226" s="23">
        <f t="shared" si="3"/>
        <v>0</v>
      </c>
      <c r="S226" t="s">
        <v>28</v>
      </c>
      <c r="T226" t="s">
        <v>29</v>
      </c>
      <c r="U226">
        <v>2022</v>
      </c>
      <c r="V226">
        <v>3022</v>
      </c>
      <c r="W226" t="s">
        <v>55</v>
      </c>
      <c r="X226" t="s">
        <v>31</v>
      </c>
      <c r="Y226">
        <v>21</v>
      </c>
    </row>
    <row r="227" spans="5:25">
      <c r="E227">
        <v>1226</v>
      </c>
      <c r="F227" t="s">
        <v>32</v>
      </c>
      <c r="H227" t="s">
        <v>57</v>
      </c>
      <c r="I227" t="s">
        <v>58</v>
      </c>
      <c r="J227" s="21">
        <v>44643</v>
      </c>
      <c r="M227" s="23">
        <v>1190</v>
      </c>
      <c r="N227" s="23">
        <v>1700</v>
      </c>
      <c r="O227">
        <v>3</v>
      </c>
      <c r="P227" s="23"/>
      <c r="Q227" s="23"/>
      <c r="R227" s="23">
        <f t="shared" si="3"/>
        <v>0</v>
      </c>
      <c r="S227" t="s">
        <v>23</v>
      </c>
      <c r="T227" t="s">
        <v>35</v>
      </c>
      <c r="U227">
        <v>2023</v>
      </c>
      <c r="V227">
        <v>3023</v>
      </c>
      <c r="W227" t="s">
        <v>59</v>
      </c>
      <c r="X227" t="s">
        <v>26</v>
      </c>
      <c r="Y227">
        <v>20</v>
      </c>
    </row>
    <row r="228" spans="5:25">
      <c r="E228">
        <v>1227</v>
      </c>
      <c r="F228" t="s">
        <v>32</v>
      </c>
      <c r="H228" t="s">
        <v>57</v>
      </c>
      <c r="I228" t="s">
        <v>61</v>
      </c>
      <c r="J228" s="21">
        <v>44644</v>
      </c>
      <c r="M228" s="23">
        <v>1400</v>
      </c>
      <c r="N228" s="23">
        <v>2000</v>
      </c>
      <c r="O228">
        <v>1</v>
      </c>
      <c r="P228" s="23"/>
      <c r="Q228" s="23"/>
      <c r="R228" s="23">
        <f t="shared" si="3"/>
        <v>0</v>
      </c>
      <c r="S228" t="s">
        <v>23</v>
      </c>
      <c r="T228" t="s">
        <v>24</v>
      </c>
      <c r="U228">
        <v>2024</v>
      </c>
      <c r="V228">
        <v>3024</v>
      </c>
      <c r="W228" t="s">
        <v>62</v>
      </c>
      <c r="X228" t="s">
        <v>31</v>
      </c>
      <c r="Y228">
        <v>18</v>
      </c>
    </row>
    <row r="229" spans="5:25">
      <c r="E229">
        <v>1228</v>
      </c>
      <c r="F229" t="s">
        <v>40</v>
      </c>
      <c r="H229" t="s">
        <v>64</v>
      </c>
      <c r="I229" t="s">
        <v>65</v>
      </c>
      <c r="J229" s="21">
        <v>44645</v>
      </c>
      <c r="M229" s="23">
        <v>975</v>
      </c>
      <c r="N229" s="23">
        <v>1500</v>
      </c>
      <c r="O229">
        <v>2</v>
      </c>
      <c r="P229" s="23"/>
      <c r="Q229" s="23"/>
      <c r="R229" s="23">
        <f t="shared" si="3"/>
        <v>0</v>
      </c>
      <c r="S229" t="s">
        <v>28</v>
      </c>
      <c r="T229" t="s">
        <v>29</v>
      </c>
      <c r="U229">
        <v>2025</v>
      </c>
      <c r="V229">
        <v>3025</v>
      </c>
      <c r="W229" t="s">
        <v>66</v>
      </c>
      <c r="X229" t="s">
        <v>26</v>
      </c>
      <c r="Y229">
        <v>28</v>
      </c>
    </row>
    <row r="230" spans="5:25">
      <c r="E230">
        <v>1229</v>
      </c>
      <c r="F230" t="s">
        <v>40</v>
      </c>
      <c r="H230" t="s">
        <v>64</v>
      </c>
      <c r="I230" t="s">
        <v>67</v>
      </c>
      <c r="J230" s="21">
        <v>44646</v>
      </c>
      <c r="M230" s="23">
        <v>1170</v>
      </c>
      <c r="N230" s="23">
        <v>1800</v>
      </c>
      <c r="O230">
        <v>1</v>
      </c>
      <c r="P230" s="23"/>
      <c r="Q230" s="23"/>
      <c r="R230" s="23">
        <f t="shared" si="3"/>
        <v>0</v>
      </c>
      <c r="S230" t="s">
        <v>23</v>
      </c>
      <c r="T230" t="s">
        <v>24</v>
      </c>
      <c r="U230">
        <v>2026</v>
      </c>
      <c r="V230">
        <v>3026</v>
      </c>
      <c r="W230" t="s">
        <v>68</v>
      </c>
      <c r="X230" t="s">
        <v>31</v>
      </c>
      <c r="Y230">
        <v>26</v>
      </c>
    </row>
    <row r="231" spans="5:25">
      <c r="E231">
        <v>1230</v>
      </c>
      <c r="F231" t="s">
        <v>20</v>
      </c>
      <c r="H231" t="s">
        <v>69</v>
      </c>
      <c r="I231" t="s">
        <v>70</v>
      </c>
      <c r="J231" s="21">
        <v>44647</v>
      </c>
      <c r="M231" s="23">
        <v>1656</v>
      </c>
      <c r="N231" s="23">
        <v>2300</v>
      </c>
      <c r="O231">
        <v>2</v>
      </c>
      <c r="P231" s="23"/>
      <c r="Q231" s="23"/>
      <c r="R231" s="23">
        <f t="shared" si="3"/>
        <v>0</v>
      </c>
      <c r="S231" t="s">
        <v>28</v>
      </c>
      <c r="T231" t="s">
        <v>24</v>
      </c>
      <c r="U231">
        <v>2027</v>
      </c>
      <c r="V231">
        <v>3027</v>
      </c>
      <c r="W231" t="s">
        <v>71</v>
      </c>
      <c r="X231" t="s">
        <v>26</v>
      </c>
      <c r="Y231">
        <v>30</v>
      </c>
    </row>
    <row r="232" spans="5:25">
      <c r="E232">
        <v>1231</v>
      </c>
      <c r="F232" t="s">
        <v>20</v>
      </c>
      <c r="H232" t="s">
        <v>69</v>
      </c>
      <c r="I232" t="s">
        <v>72</v>
      </c>
      <c r="J232" s="21">
        <v>44648</v>
      </c>
      <c r="M232" s="23">
        <v>1872</v>
      </c>
      <c r="N232" s="23">
        <v>2600</v>
      </c>
      <c r="O232">
        <v>1</v>
      </c>
      <c r="P232" s="23"/>
      <c r="Q232" s="23"/>
      <c r="R232" s="23">
        <f t="shared" si="3"/>
        <v>0</v>
      </c>
      <c r="S232" t="s">
        <v>23</v>
      </c>
      <c r="T232" t="s">
        <v>29</v>
      </c>
      <c r="U232">
        <v>2028</v>
      </c>
      <c r="V232">
        <v>3028</v>
      </c>
      <c r="W232" t="s">
        <v>73</v>
      </c>
      <c r="X232" t="s">
        <v>31</v>
      </c>
      <c r="Y232">
        <v>28</v>
      </c>
    </row>
    <row r="233" spans="5:25">
      <c r="E233">
        <v>1232</v>
      </c>
      <c r="F233" t="s">
        <v>20</v>
      </c>
      <c r="H233" t="s">
        <v>74</v>
      </c>
      <c r="I233" t="s">
        <v>75</v>
      </c>
      <c r="J233" s="21">
        <v>44631</v>
      </c>
      <c r="M233" s="23">
        <v>780</v>
      </c>
      <c r="N233" s="23">
        <v>1300</v>
      </c>
      <c r="O233">
        <v>2</v>
      </c>
      <c r="P233" s="23"/>
      <c r="Q233" s="23"/>
      <c r="R233" s="23">
        <f t="shared" si="3"/>
        <v>0</v>
      </c>
      <c r="S233" t="s">
        <v>23</v>
      </c>
      <c r="T233" t="s">
        <v>24</v>
      </c>
      <c r="U233">
        <v>2041</v>
      </c>
      <c r="V233">
        <v>3041</v>
      </c>
      <c r="W233" t="s">
        <v>76</v>
      </c>
      <c r="X233" t="s">
        <v>26</v>
      </c>
      <c r="Y233">
        <v>32</v>
      </c>
    </row>
    <row r="234" spans="5:25">
      <c r="E234">
        <v>1233</v>
      </c>
      <c r="F234" t="s">
        <v>20</v>
      </c>
      <c r="H234" t="s">
        <v>74</v>
      </c>
      <c r="I234" t="s">
        <v>77</v>
      </c>
      <c r="J234" s="21">
        <v>44632</v>
      </c>
      <c r="M234" s="23">
        <v>960</v>
      </c>
      <c r="N234" s="23">
        <v>1600</v>
      </c>
      <c r="O234">
        <v>1</v>
      </c>
      <c r="P234" s="23"/>
      <c r="Q234" s="23"/>
      <c r="R234" s="23">
        <f t="shared" si="3"/>
        <v>0</v>
      </c>
      <c r="S234" t="s">
        <v>28</v>
      </c>
      <c r="T234" t="s">
        <v>29</v>
      </c>
      <c r="U234">
        <v>2042</v>
      </c>
      <c r="V234">
        <v>3042</v>
      </c>
      <c r="W234" t="s">
        <v>78</v>
      </c>
      <c r="X234" t="s">
        <v>31</v>
      </c>
      <c r="Y234">
        <v>29</v>
      </c>
    </row>
    <row r="235" spans="5:25">
      <c r="E235">
        <v>1234</v>
      </c>
      <c r="F235" t="s">
        <v>32</v>
      </c>
      <c r="H235" t="s">
        <v>79</v>
      </c>
      <c r="I235" t="s">
        <v>80</v>
      </c>
      <c r="J235" s="21">
        <v>44633</v>
      </c>
      <c r="M235" s="23">
        <v>1292</v>
      </c>
      <c r="N235" s="23">
        <v>1900</v>
      </c>
      <c r="O235">
        <v>3</v>
      </c>
      <c r="P235" s="23"/>
      <c r="Q235" s="23"/>
      <c r="R235" s="23">
        <f t="shared" si="3"/>
        <v>0</v>
      </c>
      <c r="S235" t="s">
        <v>23</v>
      </c>
      <c r="T235" t="s">
        <v>35</v>
      </c>
      <c r="U235">
        <v>2043</v>
      </c>
      <c r="V235">
        <v>3043</v>
      </c>
      <c r="W235" t="s">
        <v>81</v>
      </c>
      <c r="X235" t="s">
        <v>26</v>
      </c>
      <c r="Y235">
        <v>21</v>
      </c>
    </row>
    <row r="236" spans="5:25">
      <c r="E236">
        <v>1235</v>
      </c>
      <c r="F236" t="s">
        <v>32</v>
      </c>
      <c r="H236" t="s">
        <v>79</v>
      </c>
      <c r="I236" t="s">
        <v>82</v>
      </c>
      <c r="J236" s="21">
        <v>44634</v>
      </c>
      <c r="M236" s="23">
        <v>1496</v>
      </c>
      <c r="N236" s="23">
        <v>2200</v>
      </c>
      <c r="O236">
        <v>1</v>
      </c>
      <c r="P236" s="23"/>
      <c r="Q236" s="23"/>
      <c r="R236" s="23">
        <f t="shared" si="3"/>
        <v>0</v>
      </c>
      <c r="S236" t="s">
        <v>23</v>
      </c>
      <c r="T236" t="s">
        <v>24</v>
      </c>
      <c r="U236">
        <v>2044</v>
      </c>
      <c r="V236">
        <v>3044</v>
      </c>
      <c r="W236" t="s">
        <v>83</v>
      </c>
      <c r="X236" t="s">
        <v>31</v>
      </c>
      <c r="Y236">
        <v>19</v>
      </c>
    </row>
    <row r="237" spans="5:25">
      <c r="E237">
        <v>1236</v>
      </c>
      <c r="F237" t="s">
        <v>40</v>
      </c>
      <c r="H237" t="s">
        <v>84</v>
      </c>
      <c r="I237" t="s">
        <v>85</v>
      </c>
      <c r="J237" s="21">
        <v>44635</v>
      </c>
      <c r="M237" s="23">
        <v>1340</v>
      </c>
      <c r="N237" s="23">
        <v>2000</v>
      </c>
      <c r="O237">
        <v>2</v>
      </c>
      <c r="P237" s="23"/>
      <c r="Q237" s="23"/>
      <c r="R237" s="23">
        <f t="shared" si="3"/>
        <v>0</v>
      </c>
      <c r="S237" t="s">
        <v>28</v>
      </c>
      <c r="T237" t="s">
        <v>29</v>
      </c>
      <c r="U237">
        <v>2045</v>
      </c>
      <c r="V237">
        <v>3045</v>
      </c>
      <c r="W237" t="s">
        <v>86</v>
      </c>
      <c r="X237" t="s">
        <v>26</v>
      </c>
      <c r="Y237">
        <v>36</v>
      </c>
    </row>
    <row r="238" spans="5:25">
      <c r="E238">
        <v>1237</v>
      </c>
      <c r="F238" t="s">
        <v>40</v>
      </c>
      <c r="H238" t="s">
        <v>84</v>
      </c>
      <c r="I238" t="s">
        <v>87</v>
      </c>
      <c r="J238" s="21">
        <v>44636</v>
      </c>
      <c r="M238" s="23">
        <v>1541</v>
      </c>
      <c r="N238" s="23">
        <v>2300</v>
      </c>
      <c r="O238">
        <v>1</v>
      </c>
      <c r="P238" s="23"/>
      <c r="Q238" s="23"/>
      <c r="R238" s="23">
        <f t="shared" si="3"/>
        <v>0</v>
      </c>
      <c r="S238" t="s">
        <v>23</v>
      </c>
      <c r="T238" t="s">
        <v>24</v>
      </c>
      <c r="U238">
        <v>2046</v>
      </c>
      <c r="V238">
        <v>3046</v>
      </c>
      <c r="W238" t="s">
        <v>88</v>
      </c>
      <c r="X238" t="s">
        <v>31</v>
      </c>
      <c r="Y238">
        <v>34</v>
      </c>
    </row>
    <row r="239" spans="5:25">
      <c r="E239">
        <v>1238</v>
      </c>
      <c r="F239" t="s">
        <v>20</v>
      </c>
      <c r="H239" t="s">
        <v>89</v>
      </c>
      <c r="I239" t="s">
        <v>90</v>
      </c>
      <c r="J239" s="21">
        <v>44637</v>
      </c>
      <c r="M239" s="23">
        <v>2250</v>
      </c>
      <c r="N239" s="23">
        <v>3000</v>
      </c>
      <c r="O239">
        <v>2</v>
      </c>
      <c r="P239" s="23"/>
      <c r="Q239" s="23"/>
      <c r="R239" s="23">
        <f t="shared" si="3"/>
        <v>0</v>
      </c>
      <c r="S239" t="s">
        <v>28</v>
      </c>
      <c r="T239" t="s">
        <v>24</v>
      </c>
      <c r="U239">
        <v>2047</v>
      </c>
      <c r="V239">
        <v>3047</v>
      </c>
      <c r="W239" t="s">
        <v>91</v>
      </c>
      <c r="X239" t="s">
        <v>26</v>
      </c>
      <c r="Y239">
        <v>40</v>
      </c>
    </row>
    <row r="240" spans="5:25">
      <c r="E240">
        <v>1239</v>
      </c>
      <c r="F240" t="s">
        <v>20</v>
      </c>
      <c r="H240" t="s">
        <v>89</v>
      </c>
      <c r="I240" t="s">
        <v>92</v>
      </c>
      <c r="J240" s="21">
        <v>44638</v>
      </c>
      <c r="M240" s="23">
        <v>2625</v>
      </c>
      <c r="N240" s="23">
        <v>3500</v>
      </c>
      <c r="O240">
        <v>1</v>
      </c>
      <c r="P240" s="23"/>
      <c r="Q240" s="23"/>
      <c r="R240" s="23">
        <f t="shared" si="3"/>
        <v>0</v>
      </c>
      <c r="S240" t="s">
        <v>23</v>
      </c>
      <c r="T240" t="s">
        <v>29</v>
      </c>
      <c r="U240">
        <v>2048</v>
      </c>
      <c r="V240">
        <v>3048</v>
      </c>
      <c r="W240" t="s">
        <v>93</v>
      </c>
      <c r="X240" t="s">
        <v>31</v>
      </c>
      <c r="Y240">
        <v>38</v>
      </c>
    </row>
    <row r="241" spans="5:25">
      <c r="E241">
        <v>1240</v>
      </c>
      <c r="F241" t="s">
        <v>94</v>
      </c>
      <c r="H241" t="s">
        <v>95</v>
      </c>
      <c r="I241" t="s">
        <v>96</v>
      </c>
      <c r="J241" s="21">
        <v>44621</v>
      </c>
      <c r="M241" s="23">
        <v>1460</v>
      </c>
      <c r="N241" s="23">
        <v>2000</v>
      </c>
      <c r="O241">
        <v>2</v>
      </c>
      <c r="P241" s="23"/>
      <c r="Q241" s="23"/>
      <c r="R241" s="23">
        <f t="shared" si="3"/>
        <v>0</v>
      </c>
      <c r="S241" t="s">
        <v>23</v>
      </c>
      <c r="T241" t="s">
        <v>24</v>
      </c>
      <c r="U241">
        <v>2061</v>
      </c>
      <c r="V241">
        <v>3061</v>
      </c>
      <c r="W241" t="s">
        <v>97</v>
      </c>
      <c r="X241" t="s">
        <v>26</v>
      </c>
      <c r="Y241">
        <v>35</v>
      </c>
    </row>
    <row r="242" spans="5:25">
      <c r="E242">
        <v>1241</v>
      </c>
      <c r="F242" t="s">
        <v>94</v>
      </c>
      <c r="H242" t="s">
        <v>95</v>
      </c>
      <c r="I242" t="s">
        <v>98</v>
      </c>
      <c r="J242" s="21">
        <v>44622</v>
      </c>
      <c r="M242" s="23">
        <v>1825</v>
      </c>
      <c r="N242" s="23">
        <v>2500</v>
      </c>
      <c r="O242">
        <v>1</v>
      </c>
      <c r="P242" s="23"/>
      <c r="Q242" s="23"/>
      <c r="R242" s="23">
        <f t="shared" si="3"/>
        <v>0</v>
      </c>
      <c r="S242" t="s">
        <v>28</v>
      </c>
      <c r="T242" t="s">
        <v>29</v>
      </c>
      <c r="U242">
        <v>2062</v>
      </c>
      <c r="V242">
        <v>3062</v>
      </c>
      <c r="W242" t="s">
        <v>99</v>
      </c>
      <c r="X242" t="s">
        <v>31</v>
      </c>
      <c r="Y242">
        <v>33</v>
      </c>
    </row>
    <row r="243" spans="5:25">
      <c r="E243">
        <v>1242</v>
      </c>
      <c r="F243" t="s">
        <v>32</v>
      </c>
      <c r="H243" t="s">
        <v>100</v>
      </c>
      <c r="I243" t="s">
        <v>101</v>
      </c>
      <c r="J243" s="21">
        <v>44623</v>
      </c>
      <c r="M243" s="23">
        <v>1105</v>
      </c>
      <c r="N243" s="23">
        <v>1700</v>
      </c>
      <c r="O243">
        <v>3</v>
      </c>
      <c r="P243" s="23"/>
      <c r="Q243" s="23"/>
      <c r="R243" s="23">
        <f t="shared" si="3"/>
        <v>0</v>
      </c>
      <c r="S243" t="s">
        <v>23</v>
      </c>
      <c r="T243" t="s">
        <v>35</v>
      </c>
      <c r="U243">
        <v>2063</v>
      </c>
      <c r="V243">
        <v>3063</v>
      </c>
      <c r="W243" t="s">
        <v>102</v>
      </c>
      <c r="X243" t="s">
        <v>26</v>
      </c>
      <c r="Y243">
        <v>22</v>
      </c>
    </row>
    <row r="244" spans="5:25">
      <c r="E244">
        <v>1243</v>
      </c>
      <c r="F244" t="s">
        <v>32</v>
      </c>
      <c r="H244" t="s">
        <v>100</v>
      </c>
      <c r="I244" t="s">
        <v>103</v>
      </c>
      <c r="J244" s="21">
        <v>44624</v>
      </c>
      <c r="M244" s="23">
        <v>1365</v>
      </c>
      <c r="N244" s="23">
        <v>2100</v>
      </c>
      <c r="O244">
        <v>1</v>
      </c>
      <c r="P244" s="23"/>
      <c r="Q244" s="23"/>
      <c r="R244" s="23">
        <f t="shared" si="3"/>
        <v>0</v>
      </c>
      <c r="S244" t="s">
        <v>23</v>
      </c>
      <c r="T244" t="s">
        <v>24</v>
      </c>
      <c r="U244">
        <v>2064</v>
      </c>
      <c r="V244">
        <v>3064</v>
      </c>
      <c r="W244" t="s">
        <v>104</v>
      </c>
      <c r="X244" t="s">
        <v>31</v>
      </c>
      <c r="Y244">
        <v>20</v>
      </c>
    </row>
    <row r="245" spans="5:25">
      <c r="E245">
        <v>1244</v>
      </c>
      <c r="F245" t="s">
        <v>40</v>
      </c>
      <c r="H245" t="s">
        <v>105</v>
      </c>
      <c r="I245" t="s">
        <v>106</v>
      </c>
      <c r="J245" s="21">
        <v>44625</v>
      </c>
      <c r="M245" s="23">
        <v>1035</v>
      </c>
      <c r="N245" s="23">
        <v>1500</v>
      </c>
      <c r="O245">
        <v>2</v>
      </c>
      <c r="P245" s="23"/>
      <c r="Q245" s="23"/>
      <c r="R245" s="23">
        <f t="shared" si="3"/>
        <v>0</v>
      </c>
      <c r="S245" t="s">
        <v>28</v>
      </c>
      <c r="T245" t="s">
        <v>29</v>
      </c>
      <c r="U245">
        <v>2065</v>
      </c>
      <c r="V245">
        <v>3065</v>
      </c>
      <c r="W245" t="s">
        <v>107</v>
      </c>
      <c r="X245" t="s">
        <v>26</v>
      </c>
      <c r="Y245">
        <v>30</v>
      </c>
    </row>
    <row r="246" spans="5:25">
      <c r="E246">
        <v>1245</v>
      </c>
      <c r="F246" t="s">
        <v>40</v>
      </c>
      <c r="H246" t="s">
        <v>105</v>
      </c>
      <c r="I246" t="s">
        <v>108</v>
      </c>
      <c r="J246" s="21">
        <v>44626</v>
      </c>
      <c r="M246" s="23">
        <v>1242</v>
      </c>
      <c r="N246" s="23">
        <v>1800</v>
      </c>
      <c r="O246">
        <v>1</v>
      </c>
      <c r="P246" s="23"/>
      <c r="Q246" s="23"/>
      <c r="R246" s="23">
        <f t="shared" si="3"/>
        <v>0</v>
      </c>
      <c r="S246" t="s">
        <v>23</v>
      </c>
      <c r="T246" t="s">
        <v>24</v>
      </c>
      <c r="U246">
        <v>2066</v>
      </c>
      <c r="V246">
        <v>3066</v>
      </c>
      <c r="W246" t="s">
        <v>109</v>
      </c>
      <c r="X246" t="s">
        <v>31</v>
      </c>
      <c r="Y246">
        <v>28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7"/>
  <sheetViews>
    <sheetView workbookViewId="0">
      <selection activeCell="D13" sqref="D13"/>
    </sheetView>
  </sheetViews>
  <sheetFormatPr defaultColWidth="9.140625" defaultRowHeight="15"/>
  <cols>
    <col min="1" max="1" width="12.28515625" customWidth="1"/>
    <col min="2" max="2" width="10.5703125" customWidth="1"/>
    <col min="3" max="3" width="18.42578125" customWidth="1"/>
    <col min="4" max="4" width="37.140625" customWidth="1"/>
    <col min="5" max="5" width="22.5703125" customWidth="1"/>
    <col min="6" max="6" width="21.28515625" customWidth="1"/>
    <col min="7" max="7" width="14" customWidth="1"/>
    <col min="8" max="8" width="17" customWidth="1"/>
    <col min="9" max="9" width="14" customWidth="1"/>
    <col min="10" max="10" width="12.85546875" customWidth="1"/>
    <col min="13" max="13" width="17.5703125" customWidth="1"/>
    <col min="14" max="14" width="13.140625" customWidth="1"/>
    <col min="15" max="15" width="16.42578125" customWidth="1"/>
    <col min="16" max="16" width="20.140625" style="16" customWidth="1"/>
    <col min="17" max="17" width="10.140625" customWidth="1"/>
    <col min="18" max="18" width="13.140625" customWidth="1"/>
    <col min="19" max="19" width="18.5703125" customWidth="1"/>
    <col min="20" max="20" width="17.7109375" customWidth="1"/>
  </cols>
  <sheetData>
    <row r="1" spans="1:20" ht="24" customHeight="1">
      <c r="A1" s="17" t="s">
        <v>0</v>
      </c>
      <c r="B1" s="17" t="s">
        <v>15</v>
      </c>
      <c r="C1" s="17" t="s">
        <v>3</v>
      </c>
      <c r="D1" s="17" t="s">
        <v>17</v>
      </c>
      <c r="E1" s="17" t="s">
        <v>1</v>
      </c>
      <c r="F1" s="17" t="s">
        <v>2</v>
      </c>
      <c r="G1" s="17" t="s">
        <v>18</v>
      </c>
      <c r="H1" s="17" t="s">
        <v>19</v>
      </c>
      <c r="I1" s="17" t="s">
        <v>16</v>
      </c>
      <c r="J1" s="17" t="s">
        <v>4</v>
      </c>
      <c r="K1" s="17" t="s">
        <v>5</v>
      </c>
      <c r="L1" s="17" t="s">
        <v>6</v>
      </c>
      <c r="M1" s="17" t="s">
        <v>7</v>
      </c>
      <c r="N1" s="17" t="s">
        <v>8</v>
      </c>
      <c r="O1" s="17" t="s">
        <v>9</v>
      </c>
      <c r="P1" s="22" t="s">
        <v>10</v>
      </c>
      <c r="Q1" s="17" t="s">
        <v>11</v>
      </c>
      <c r="R1" s="17" t="s">
        <v>12</v>
      </c>
      <c r="S1" s="17" t="s">
        <v>13</v>
      </c>
      <c r="T1" s="17" t="s">
        <v>14</v>
      </c>
    </row>
    <row r="2" spans="1:20">
      <c r="A2">
        <v>1001</v>
      </c>
      <c r="B2">
        <v>2001</v>
      </c>
      <c r="C2" t="s">
        <v>22</v>
      </c>
      <c r="D2" t="s">
        <v>25</v>
      </c>
      <c r="E2" t="s">
        <v>20</v>
      </c>
      <c r="F2" t="s">
        <v>21</v>
      </c>
      <c r="G2" t="s">
        <v>26</v>
      </c>
      <c r="H2">
        <v>25</v>
      </c>
      <c r="I2">
        <v>3001</v>
      </c>
      <c r="J2" s="21">
        <v>44986</v>
      </c>
      <c r="K2" s="21" t="str">
        <f t="shared" ref="K2:K65" si="0">TEXT(J2,"mmm")</f>
        <v>Mar</v>
      </c>
      <c r="L2">
        <f t="shared" ref="L2:L65" si="1">YEAR(J2)</f>
        <v>2023</v>
      </c>
      <c r="M2" s="23">
        <v>840</v>
      </c>
      <c r="N2" s="23">
        <v>1200</v>
      </c>
      <c r="O2">
        <v>2</v>
      </c>
      <c r="P2" s="16">
        <f t="shared" ref="P2:P65" si="2">N2*O2</f>
        <v>2400</v>
      </c>
      <c r="Q2" s="23"/>
      <c r="R2" s="23">
        <f t="shared" ref="R2:R65" si="3">P2+Q2</f>
        <v>2400</v>
      </c>
      <c r="S2" t="s">
        <v>23</v>
      </c>
      <c r="T2" t="s">
        <v>24</v>
      </c>
    </row>
    <row r="3" spans="1:20">
      <c r="A3">
        <v>1002</v>
      </c>
      <c r="B3">
        <v>2002</v>
      </c>
      <c r="C3" t="s">
        <v>27</v>
      </c>
      <c r="D3" t="s">
        <v>30</v>
      </c>
      <c r="E3" t="s">
        <v>20</v>
      </c>
      <c r="F3" t="s">
        <v>21</v>
      </c>
      <c r="G3" t="s">
        <v>31</v>
      </c>
      <c r="H3">
        <v>22</v>
      </c>
      <c r="I3">
        <v>3002</v>
      </c>
      <c r="J3" s="21">
        <v>44987</v>
      </c>
      <c r="K3" s="21" t="str">
        <f t="shared" si="0"/>
        <v>Mar</v>
      </c>
      <c r="L3">
        <f t="shared" si="1"/>
        <v>2023</v>
      </c>
      <c r="M3" s="23">
        <v>1050</v>
      </c>
      <c r="N3" s="23">
        <v>1500</v>
      </c>
      <c r="O3">
        <v>1</v>
      </c>
      <c r="P3" s="16">
        <f t="shared" si="2"/>
        <v>1500</v>
      </c>
      <c r="Q3" s="23"/>
      <c r="R3" s="23">
        <f t="shared" si="3"/>
        <v>1500</v>
      </c>
      <c r="S3" t="s">
        <v>28</v>
      </c>
      <c r="T3" t="s">
        <v>29</v>
      </c>
    </row>
    <row r="4" spans="1:20">
      <c r="A4">
        <v>1003</v>
      </c>
      <c r="B4">
        <v>2003</v>
      </c>
      <c r="C4" t="s">
        <v>34</v>
      </c>
      <c r="D4" t="s">
        <v>36</v>
      </c>
      <c r="E4" t="s">
        <v>32</v>
      </c>
      <c r="F4" t="s">
        <v>33</v>
      </c>
      <c r="G4" t="s">
        <v>26</v>
      </c>
      <c r="H4">
        <v>18</v>
      </c>
      <c r="I4">
        <v>3003</v>
      </c>
      <c r="J4" s="21">
        <v>44988</v>
      </c>
      <c r="K4" s="21" t="str">
        <f t="shared" si="0"/>
        <v>Mar</v>
      </c>
      <c r="L4">
        <f t="shared" si="1"/>
        <v>2023</v>
      </c>
      <c r="M4" s="23">
        <v>1260</v>
      </c>
      <c r="N4" s="23">
        <v>1800</v>
      </c>
      <c r="O4">
        <v>3</v>
      </c>
      <c r="P4" s="16">
        <f t="shared" si="2"/>
        <v>5400</v>
      </c>
      <c r="Q4" s="23"/>
      <c r="R4" s="23">
        <f t="shared" si="3"/>
        <v>5400</v>
      </c>
      <c r="S4" t="s">
        <v>23</v>
      </c>
      <c r="T4" t="s">
        <v>35</v>
      </c>
    </row>
    <row r="5" spans="1:20">
      <c r="A5">
        <v>1004</v>
      </c>
      <c r="B5">
        <v>2004</v>
      </c>
      <c r="C5" t="s">
        <v>38</v>
      </c>
      <c r="D5" t="s">
        <v>39</v>
      </c>
      <c r="E5" t="s">
        <v>32</v>
      </c>
      <c r="F5" t="s">
        <v>33</v>
      </c>
      <c r="G5" t="s">
        <v>31</v>
      </c>
      <c r="H5">
        <v>16</v>
      </c>
      <c r="I5">
        <v>3004</v>
      </c>
      <c r="J5" s="21">
        <v>44989</v>
      </c>
      <c r="K5" s="21" t="str">
        <f t="shared" si="0"/>
        <v>Mar</v>
      </c>
      <c r="L5">
        <f t="shared" si="1"/>
        <v>2023</v>
      </c>
      <c r="M5" s="23">
        <v>1470</v>
      </c>
      <c r="N5" s="23">
        <v>2100</v>
      </c>
      <c r="O5">
        <v>1</v>
      </c>
      <c r="P5" s="16">
        <f t="shared" si="2"/>
        <v>2100</v>
      </c>
      <c r="Q5" s="23"/>
      <c r="R5" s="23">
        <f t="shared" si="3"/>
        <v>2100</v>
      </c>
      <c r="S5" t="s">
        <v>23</v>
      </c>
      <c r="T5" t="s">
        <v>24</v>
      </c>
    </row>
    <row r="6" spans="1:20">
      <c r="A6">
        <v>1005</v>
      </c>
      <c r="B6">
        <v>2005</v>
      </c>
      <c r="C6" t="s">
        <v>42</v>
      </c>
      <c r="D6" t="s">
        <v>43</v>
      </c>
      <c r="E6" t="s">
        <v>40</v>
      </c>
      <c r="F6" t="s">
        <v>41</v>
      </c>
      <c r="G6" t="s">
        <v>26</v>
      </c>
      <c r="H6">
        <v>27</v>
      </c>
      <c r="I6">
        <v>3005</v>
      </c>
      <c r="J6" s="21">
        <v>44990</v>
      </c>
      <c r="K6" s="21" t="str">
        <f t="shared" si="0"/>
        <v>Mar</v>
      </c>
      <c r="L6">
        <f t="shared" si="1"/>
        <v>2023</v>
      </c>
      <c r="M6" s="23">
        <v>897</v>
      </c>
      <c r="N6" s="23">
        <v>1300</v>
      </c>
      <c r="O6">
        <v>2</v>
      </c>
      <c r="P6" s="16">
        <f t="shared" si="2"/>
        <v>2600</v>
      </c>
      <c r="Q6" s="23"/>
      <c r="R6" s="23">
        <f t="shared" si="3"/>
        <v>2600</v>
      </c>
      <c r="S6" t="s">
        <v>28</v>
      </c>
      <c r="T6" t="s">
        <v>29</v>
      </c>
    </row>
    <row r="7" spans="1:20">
      <c r="A7">
        <v>1006</v>
      </c>
      <c r="B7">
        <v>2006</v>
      </c>
      <c r="C7" t="s">
        <v>44</v>
      </c>
      <c r="D7" t="s">
        <v>45</v>
      </c>
      <c r="E7" t="s">
        <v>40</v>
      </c>
      <c r="F7" t="s">
        <v>154</v>
      </c>
      <c r="G7" t="s">
        <v>31</v>
      </c>
      <c r="H7">
        <v>24</v>
      </c>
      <c r="I7">
        <v>3006</v>
      </c>
      <c r="J7" s="21">
        <v>44991</v>
      </c>
      <c r="K7" s="21" t="str">
        <f t="shared" si="0"/>
        <v>Mar</v>
      </c>
      <c r="L7">
        <f t="shared" si="1"/>
        <v>2023</v>
      </c>
      <c r="M7" s="23">
        <v>1104</v>
      </c>
      <c r="N7" s="23">
        <v>1600</v>
      </c>
      <c r="O7">
        <v>1</v>
      </c>
      <c r="P7" s="16">
        <f t="shared" si="2"/>
        <v>1600</v>
      </c>
      <c r="Q7" s="23"/>
      <c r="R7" s="23">
        <f t="shared" si="3"/>
        <v>1600</v>
      </c>
      <c r="S7" t="s">
        <v>23</v>
      </c>
      <c r="T7" t="s">
        <v>24</v>
      </c>
    </row>
    <row r="8" spans="1:20">
      <c r="A8">
        <v>1007</v>
      </c>
      <c r="B8">
        <v>2007</v>
      </c>
      <c r="C8" t="s">
        <v>47</v>
      </c>
      <c r="D8" t="s">
        <v>48</v>
      </c>
      <c r="E8" t="s">
        <v>20</v>
      </c>
      <c r="F8" t="s">
        <v>46</v>
      </c>
      <c r="G8" t="s">
        <v>26</v>
      </c>
      <c r="H8">
        <v>29</v>
      </c>
      <c r="I8">
        <v>3007</v>
      </c>
      <c r="J8" s="21">
        <v>44992</v>
      </c>
      <c r="K8" s="21" t="str">
        <f t="shared" si="0"/>
        <v>Mar</v>
      </c>
      <c r="L8">
        <f t="shared" si="1"/>
        <v>2023</v>
      </c>
      <c r="M8" s="23">
        <v>1496</v>
      </c>
      <c r="N8" s="23">
        <v>2200</v>
      </c>
      <c r="O8">
        <v>2</v>
      </c>
      <c r="P8" s="16">
        <f t="shared" si="2"/>
        <v>4400</v>
      </c>
      <c r="Q8" s="23"/>
      <c r="R8" s="23">
        <f t="shared" si="3"/>
        <v>4400</v>
      </c>
      <c r="S8" t="s">
        <v>28</v>
      </c>
      <c r="T8" t="s">
        <v>24</v>
      </c>
    </row>
    <row r="9" spans="1:20">
      <c r="A9">
        <v>1008</v>
      </c>
      <c r="B9">
        <v>2008</v>
      </c>
      <c r="C9" t="s">
        <v>49</v>
      </c>
      <c r="D9" t="s">
        <v>50</v>
      </c>
      <c r="E9" t="s">
        <v>20</v>
      </c>
      <c r="F9" t="s">
        <v>46</v>
      </c>
      <c r="G9" t="s">
        <v>31</v>
      </c>
      <c r="H9">
        <v>27</v>
      </c>
      <c r="I9">
        <v>3008</v>
      </c>
      <c r="J9" s="21">
        <v>44993</v>
      </c>
      <c r="K9" s="21" t="str">
        <f t="shared" si="0"/>
        <v>Mar</v>
      </c>
      <c r="L9">
        <f t="shared" si="1"/>
        <v>2023</v>
      </c>
      <c r="M9" s="23">
        <v>1700</v>
      </c>
      <c r="N9" s="23">
        <v>2500</v>
      </c>
      <c r="O9">
        <v>1</v>
      </c>
      <c r="P9" s="16">
        <f t="shared" si="2"/>
        <v>2500</v>
      </c>
      <c r="Q9" s="23"/>
      <c r="R9" s="23">
        <f t="shared" si="3"/>
        <v>2500</v>
      </c>
      <c r="S9" t="s">
        <v>23</v>
      </c>
      <c r="T9" t="s">
        <v>29</v>
      </c>
    </row>
    <row r="10" spans="1:20">
      <c r="A10">
        <v>1009</v>
      </c>
      <c r="B10">
        <v>2021</v>
      </c>
      <c r="C10" t="s">
        <v>52</v>
      </c>
      <c r="D10" t="s">
        <v>53</v>
      </c>
      <c r="E10" t="s">
        <v>20</v>
      </c>
      <c r="F10" t="s">
        <v>51</v>
      </c>
      <c r="G10" t="s">
        <v>26</v>
      </c>
      <c r="H10">
        <v>24</v>
      </c>
      <c r="I10">
        <v>3021</v>
      </c>
      <c r="J10" s="21">
        <v>45006</v>
      </c>
      <c r="K10" s="21" t="str">
        <f t="shared" si="0"/>
        <v>Mar</v>
      </c>
      <c r="L10">
        <f t="shared" si="1"/>
        <v>2023</v>
      </c>
      <c r="M10" s="23">
        <v>737</v>
      </c>
      <c r="N10" s="23">
        <v>1100</v>
      </c>
      <c r="O10">
        <v>2</v>
      </c>
      <c r="P10" s="16">
        <f t="shared" si="2"/>
        <v>2200</v>
      </c>
      <c r="Q10" s="23"/>
      <c r="R10" s="23">
        <f t="shared" si="3"/>
        <v>2200</v>
      </c>
      <c r="S10" t="s">
        <v>23</v>
      </c>
      <c r="T10" t="s">
        <v>24</v>
      </c>
    </row>
    <row r="11" spans="1:20">
      <c r="A11">
        <v>1010</v>
      </c>
      <c r="B11">
        <v>2022</v>
      </c>
      <c r="C11" t="s">
        <v>54</v>
      </c>
      <c r="D11" t="s">
        <v>55</v>
      </c>
      <c r="E11" t="s">
        <v>20</v>
      </c>
      <c r="F11" t="s">
        <v>51</v>
      </c>
      <c r="G11" t="s">
        <v>31</v>
      </c>
      <c r="H11">
        <v>21</v>
      </c>
      <c r="I11">
        <v>3022</v>
      </c>
      <c r="J11" s="21">
        <v>45007</v>
      </c>
      <c r="K11" s="21" t="str">
        <f t="shared" si="0"/>
        <v>Mar</v>
      </c>
      <c r="L11">
        <f t="shared" si="1"/>
        <v>2023</v>
      </c>
      <c r="M11" s="23">
        <v>938</v>
      </c>
      <c r="N11" s="23">
        <v>1400</v>
      </c>
      <c r="O11">
        <v>1</v>
      </c>
      <c r="P11" s="16">
        <f t="shared" si="2"/>
        <v>1400</v>
      </c>
      <c r="Q11" s="23"/>
      <c r="R11" s="23">
        <f t="shared" si="3"/>
        <v>1400</v>
      </c>
      <c r="S11" t="s">
        <v>28</v>
      </c>
      <c r="T11" t="s">
        <v>29</v>
      </c>
    </row>
    <row r="12" spans="1:20">
      <c r="A12">
        <v>1011</v>
      </c>
      <c r="B12">
        <v>2023</v>
      </c>
      <c r="C12" t="s">
        <v>58</v>
      </c>
      <c r="D12" t="s">
        <v>59</v>
      </c>
      <c r="E12" t="s">
        <v>32</v>
      </c>
      <c r="F12" t="s">
        <v>57</v>
      </c>
      <c r="G12" t="s">
        <v>26</v>
      </c>
      <c r="H12">
        <v>20</v>
      </c>
      <c r="I12">
        <v>3023</v>
      </c>
      <c r="J12" s="21">
        <v>45008</v>
      </c>
      <c r="K12" s="21" t="str">
        <f t="shared" si="0"/>
        <v>Mar</v>
      </c>
      <c r="L12">
        <f t="shared" si="1"/>
        <v>2023</v>
      </c>
      <c r="M12" s="23">
        <v>1190</v>
      </c>
      <c r="N12" s="23">
        <v>1700</v>
      </c>
      <c r="O12">
        <v>3</v>
      </c>
      <c r="P12" s="16">
        <f t="shared" si="2"/>
        <v>5100</v>
      </c>
      <c r="Q12" s="23"/>
      <c r="R12" s="23">
        <f t="shared" si="3"/>
        <v>5100</v>
      </c>
      <c r="S12" t="s">
        <v>23</v>
      </c>
      <c r="T12" t="s">
        <v>35</v>
      </c>
    </row>
    <row r="13" spans="1:20">
      <c r="A13">
        <v>1012</v>
      </c>
      <c r="B13">
        <v>2024</v>
      </c>
      <c r="C13" t="s">
        <v>61</v>
      </c>
      <c r="D13" t="s">
        <v>62</v>
      </c>
      <c r="E13" t="s">
        <v>32</v>
      </c>
      <c r="F13" t="s">
        <v>57</v>
      </c>
      <c r="G13" t="s">
        <v>31</v>
      </c>
      <c r="H13">
        <v>18</v>
      </c>
      <c r="I13">
        <v>3024</v>
      </c>
      <c r="J13" s="21">
        <v>45009</v>
      </c>
      <c r="K13" s="21" t="str">
        <f t="shared" si="0"/>
        <v>Mar</v>
      </c>
      <c r="L13">
        <f t="shared" si="1"/>
        <v>2023</v>
      </c>
      <c r="M13" s="23">
        <v>1400</v>
      </c>
      <c r="N13" s="23">
        <v>2000</v>
      </c>
      <c r="O13">
        <v>1</v>
      </c>
      <c r="P13" s="16">
        <f t="shared" si="2"/>
        <v>2000</v>
      </c>
      <c r="Q13" s="23"/>
      <c r="R13" s="23">
        <f t="shared" si="3"/>
        <v>2000</v>
      </c>
      <c r="S13" t="s">
        <v>23</v>
      </c>
      <c r="T13" t="s">
        <v>24</v>
      </c>
    </row>
    <row r="14" spans="1:20">
      <c r="A14">
        <v>1013</v>
      </c>
      <c r="B14">
        <v>2025</v>
      </c>
      <c r="C14" t="s">
        <v>65</v>
      </c>
      <c r="D14" t="s">
        <v>66</v>
      </c>
      <c r="E14" t="s">
        <v>40</v>
      </c>
      <c r="F14" t="s">
        <v>64</v>
      </c>
      <c r="G14" t="s">
        <v>26</v>
      </c>
      <c r="H14">
        <v>28</v>
      </c>
      <c r="I14">
        <v>3025</v>
      </c>
      <c r="J14" s="21">
        <v>45010</v>
      </c>
      <c r="K14" s="21" t="str">
        <f t="shared" si="0"/>
        <v>Mar</v>
      </c>
      <c r="L14">
        <f t="shared" si="1"/>
        <v>2023</v>
      </c>
      <c r="M14" s="23">
        <v>975</v>
      </c>
      <c r="N14" s="23">
        <v>1500</v>
      </c>
      <c r="O14">
        <v>2</v>
      </c>
      <c r="P14" s="16">
        <f t="shared" si="2"/>
        <v>3000</v>
      </c>
      <c r="Q14" s="23"/>
      <c r="R14" s="23">
        <f t="shared" si="3"/>
        <v>3000</v>
      </c>
      <c r="S14" t="s">
        <v>28</v>
      </c>
      <c r="T14" t="s">
        <v>29</v>
      </c>
    </row>
    <row r="15" spans="1:20">
      <c r="A15">
        <v>1014</v>
      </c>
      <c r="B15">
        <v>2026</v>
      </c>
      <c r="C15" t="s">
        <v>67</v>
      </c>
      <c r="D15" t="s">
        <v>68</v>
      </c>
      <c r="E15" t="s">
        <v>40</v>
      </c>
      <c r="F15" t="s">
        <v>64</v>
      </c>
      <c r="G15" t="s">
        <v>31</v>
      </c>
      <c r="H15">
        <v>26</v>
      </c>
      <c r="I15">
        <v>3026</v>
      </c>
      <c r="J15" s="21">
        <v>45011</v>
      </c>
      <c r="K15" s="21" t="str">
        <f t="shared" si="0"/>
        <v>Mar</v>
      </c>
      <c r="L15">
        <f t="shared" si="1"/>
        <v>2023</v>
      </c>
      <c r="M15" s="23">
        <v>1170</v>
      </c>
      <c r="N15" s="23">
        <v>1800</v>
      </c>
      <c r="O15">
        <v>1</v>
      </c>
      <c r="P15" s="16">
        <f t="shared" si="2"/>
        <v>1800</v>
      </c>
      <c r="Q15" s="23"/>
      <c r="R15" s="23">
        <f t="shared" si="3"/>
        <v>1800</v>
      </c>
      <c r="S15" t="s">
        <v>23</v>
      </c>
      <c r="T15" t="s">
        <v>24</v>
      </c>
    </row>
    <row r="16" spans="1:20">
      <c r="A16">
        <v>1015</v>
      </c>
      <c r="B16">
        <v>2027</v>
      </c>
      <c r="C16" t="s">
        <v>70</v>
      </c>
      <c r="D16" t="s">
        <v>71</v>
      </c>
      <c r="E16" t="s">
        <v>20</v>
      </c>
      <c r="F16" t="s">
        <v>69</v>
      </c>
      <c r="G16" t="s">
        <v>26</v>
      </c>
      <c r="H16">
        <v>30</v>
      </c>
      <c r="I16">
        <v>3027</v>
      </c>
      <c r="J16" s="21">
        <v>45012</v>
      </c>
      <c r="K16" s="21" t="str">
        <f t="shared" si="0"/>
        <v>Mar</v>
      </c>
      <c r="L16">
        <f t="shared" si="1"/>
        <v>2023</v>
      </c>
      <c r="M16" s="23">
        <v>1656</v>
      </c>
      <c r="N16" s="23">
        <v>2300</v>
      </c>
      <c r="O16">
        <v>2</v>
      </c>
      <c r="P16" s="16">
        <f t="shared" si="2"/>
        <v>4600</v>
      </c>
      <c r="Q16" s="23"/>
      <c r="R16" s="23">
        <f t="shared" si="3"/>
        <v>4600</v>
      </c>
      <c r="S16" t="s">
        <v>28</v>
      </c>
      <c r="T16" t="s">
        <v>24</v>
      </c>
    </row>
    <row r="17" spans="1:20">
      <c r="A17">
        <v>1016</v>
      </c>
      <c r="B17">
        <v>2028</v>
      </c>
      <c r="C17" t="s">
        <v>72</v>
      </c>
      <c r="D17" t="s">
        <v>73</v>
      </c>
      <c r="E17" t="s">
        <v>20</v>
      </c>
      <c r="F17" t="s">
        <v>69</v>
      </c>
      <c r="G17" t="s">
        <v>31</v>
      </c>
      <c r="H17">
        <v>28</v>
      </c>
      <c r="I17">
        <v>3028</v>
      </c>
      <c r="J17" s="21">
        <v>45013</v>
      </c>
      <c r="K17" s="21" t="str">
        <f t="shared" si="0"/>
        <v>Mar</v>
      </c>
      <c r="L17">
        <f t="shared" si="1"/>
        <v>2023</v>
      </c>
      <c r="M17" s="23">
        <v>1872</v>
      </c>
      <c r="N17" s="23">
        <v>1600</v>
      </c>
      <c r="O17">
        <v>1</v>
      </c>
      <c r="P17" s="16">
        <f t="shared" si="2"/>
        <v>1600</v>
      </c>
      <c r="Q17" s="23"/>
      <c r="R17" s="23">
        <f t="shared" si="3"/>
        <v>1600</v>
      </c>
      <c r="S17" t="s">
        <v>23</v>
      </c>
      <c r="T17" t="s">
        <v>29</v>
      </c>
    </row>
    <row r="18" spans="1:20">
      <c r="A18">
        <v>1017</v>
      </c>
      <c r="B18">
        <v>2041</v>
      </c>
      <c r="C18" t="s">
        <v>75</v>
      </c>
      <c r="D18" t="s">
        <v>76</v>
      </c>
      <c r="E18" t="s">
        <v>20</v>
      </c>
      <c r="F18" t="s">
        <v>74</v>
      </c>
      <c r="G18" t="s">
        <v>26</v>
      </c>
      <c r="H18">
        <v>32</v>
      </c>
      <c r="I18">
        <v>3041</v>
      </c>
      <c r="J18" s="21">
        <v>44996</v>
      </c>
      <c r="K18" s="21" t="str">
        <f t="shared" si="0"/>
        <v>Mar</v>
      </c>
      <c r="L18">
        <f t="shared" si="1"/>
        <v>2023</v>
      </c>
      <c r="M18" s="23">
        <v>780</v>
      </c>
      <c r="N18" s="23">
        <v>1300</v>
      </c>
      <c r="O18">
        <v>2</v>
      </c>
      <c r="P18" s="16">
        <f t="shared" si="2"/>
        <v>2600</v>
      </c>
      <c r="Q18" s="23"/>
      <c r="R18" s="23">
        <f t="shared" si="3"/>
        <v>2600</v>
      </c>
      <c r="S18" t="s">
        <v>23</v>
      </c>
      <c r="T18" t="s">
        <v>24</v>
      </c>
    </row>
    <row r="19" spans="1:20">
      <c r="A19">
        <v>1018</v>
      </c>
      <c r="B19">
        <v>2042</v>
      </c>
      <c r="C19" t="s">
        <v>77</v>
      </c>
      <c r="D19" t="s">
        <v>78</v>
      </c>
      <c r="E19" t="s">
        <v>20</v>
      </c>
      <c r="F19" t="s">
        <v>74</v>
      </c>
      <c r="G19" t="s">
        <v>31</v>
      </c>
      <c r="H19">
        <v>29</v>
      </c>
      <c r="I19">
        <v>3042</v>
      </c>
      <c r="J19" s="21">
        <v>44997</v>
      </c>
      <c r="K19" s="21" t="str">
        <f t="shared" si="0"/>
        <v>Mar</v>
      </c>
      <c r="L19">
        <f t="shared" si="1"/>
        <v>2023</v>
      </c>
      <c r="M19" s="23">
        <v>960</v>
      </c>
      <c r="N19" s="23">
        <v>1600</v>
      </c>
      <c r="O19">
        <v>1</v>
      </c>
      <c r="P19" s="16">
        <f t="shared" si="2"/>
        <v>1600</v>
      </c>
      <c r="Q19" s="23"/>
      <c r="R19" s="23">
        <f t="shared" si="3"/>
        <v>1600</v>
      </c>
      <c r="S19" t="s">
        <v>28</v>
      </c>
      <c r="T19" t="s">
        <v>29</v>
      </c>
    </row>
    <row r="20" spans="1:20">
      <c r="A20">
        <v>1019</v>
      </c>
      <c r="B20">
        <v>2043</v>
      </c>
      <c r="C20" t="s">
        <v>80</v>
      </c>
      <c r="D20" t="s">
        <v>81</v>
      </c>
      <c r="E20" t="s">
        <v>32</v>
      </c>
      <c r="F20" t="s">
        <v>79</v>
      </c>
      <c r="G20" t="s">
        <v>26</v>
      </c>
      <c r="H20">
        <v>21</v>
      </c>
      <c r="I20">
        <v>3043</v>
      </c>
      <c r="J20" s="21">
        <v>44998</v>
      </c>
      <c r="K20" s="21" t="str">
        <f t="shared" si="0"/>
        <v>Mar</v>
      </c>
      <c r="L20">
        <f t="shared" si="1"/>
        <v>2023</v>
      </c>
      <c r="M20" s="23">
        <v>1292</v>
      </c>
      <c r="N20" s="23">
        <v>1900</v>
      </c>
      <c r="O20">
        <v>3</v>
      </c>
      <c r="P20" s="16">
        <f t="shared" si="2"/>
        <v>5700</v>
      </c>
      <c r="Q20" s="23"/>
      <c r="R20" s="23">
        <f t="shared" si="3"/>
        <v>5700</v>
      </c>
      <c r="S20" t="s">
        <v>23</v>
      </c>
      <c r="T20" t="s">
        <v>35</v>
      </c>
    </row>
    <row r="21" spans="1:20">
      <c r="A21">
        <v>1020</v>
      </c>
      <c r="B21">
        <v>2044</v>
      </c>
      <c r="C21" t="s">
        <v>82</v>
      </c>
      <c r="D21" t="s">
        <v>83</v>
      </c>
      <c r="E21" t="s">
        <v>32</v>
      </c>
      <c r="F21" t="s">
        <v>79</v>
      </c>
      <c r="G21" t="s">
        <v>31</v>
      </c>
      <c r="H21">
        <v>19</v>
      </c>
      <c r="I21">
        <v>3044</v>
      </c>
      <c r="J21" s="21">
        <v>44999</v>
      </c>
      <c r="K21" s="21" t="str">
        <f t="shared" si="0"/>
        <v>Mar</v>
      </c>
      <c r="L21">
        <f t="shared" si="1"/>
        <v>2023</v>
      </c>
      <c r="M21" s="23">
        <v>1496</v>
      </c>
      <c r="N21" s="23">
        <v>2200</v>
      </c>
      <c r="O21">
        <v>1</v>
      </c>
      <c r="P21" s="16">
        <f t="shared" si="2"/>
        <v>2200</v>
      </c>
      <c r="Q21" s="23"/>
      <c r="R21" s="23">
        <f t="shared" si="3"/>
        <v>2200</v>
      </c>
      <c r="S21" t="s">
        <v>23</v>
      </c>
      <c r="T21" t="s">
        <v>24</v>
      </c>
    </row>
    <row r="22" spans="1:20">
      <c r="A22">
        <v>1021</v>
      </c>
      <c r="B22">
        <v>2045</v>
      </c>
      <c r="C22" t="s">
        <v>85</v>
      </c>
      <c r="D22" t="s">
        <v>86</v>
      </c>
      <c r="E22" t="s">
        <v>40</v>
      </c>
      <c r="F22" t="s">
        <v>84</v>
      </c>
      <c r="G22" t="s">
        <v>26</v>
      </c>
      <c r="H22">
        <v>36</v>
      </c>
      <c r="I22">
        <v>3045</v>
      </c>
      <c r="J22" s="21">
        <v>45000</v>
      </c>
      <c r="K22" s="21" t="str">
        <f t="shared" si="0"/>
        <v>Mar</v>
      </c>
      <c r="L22">
        <f t="shared" si="1"/>
        <v>2023</v>
      </c>
      <c r="M22" s="23">
        <v>1340</v>
      </c>
      <c r="N22" s="23">
        <v>2000</v>
      </c>
      <c r="O22">
        <v>2</v>
      </c>
      <c r="P22" s="16">
        <f t="shared" si="2"/>
        <v>4000</v>
      </c>
      <c r="Q22" s="23"/>
      <c r="R22" s="23">
        <f t="shared" si="3"/>
        <v>4000</v>
      </c>
      <c r="S22" t="s">
        <v>28</v>
      </c>
      <c r="T22" t="s">
        <v>29</v>
      </c>
    </row>
    <row r="23" spans="1:20">
      <c r="A23">
        <v>1022</v>
      </c>
      <c r="B23">
        <v>2046</v>
      </c>
      <c r="C23" t="s">
        <v>87</v>
      </c>
      <c r="D23" t="s">
        <v>88</v>
      </c>
      <c r="E23" t="s">
        <v>40</v>
      </c>
      <c r="F23" t="s">
        <v>84</v>
      </c>
      <c r="G23" t="s">
        <v>31</v>
      </c>
      <c r="H23">
        <v>34</v>
      </c>
      <c r="I23">
        <v>3046</v>
      </c>
      <c r="J23" s="21">
        <v>45001</v>
      </c>
      <c r="K23" s="21" t="str">
        <f t="shared" si="0"/>
        <v>Mar</v>
      </c>
      <c r="L23">
        <f t="shared" si="1"/>
        <v>2023</v>
      </c>
      <c r="M23" s="23">
        <v>1541</v>
      </c>
      <c r="N23" s="23">
        <v>2300</v>
      </c>
      <c r="O23">
        <v>1</v>
      </c>
      <c r="P23" s="16">
        <f t="shared" si="2"/>
        <v>2300</v>
      </c>
      <c r="Q23" s="23"/>
      <c r="R23" s="23">
        <f t="shared" si="3"/>
        <v>2300</v>
      </c>
      <c r="S23" t="s">
        <v>23</v>
      </c>
      <c r="T23" t="s">
        <v>24</v>
      </c>
    </row>
    <row r="24" spans="1:20">
      <c r="A24">
        <v>1023</v>
      </c>
      <c r="B24">
        <v>2047</v>
      </c>
      <c r="C24" t="s">
        <v>90</v>
      </c>
      <c r="D24" t="s">
        <v>91</v>
      </c>
      <c r="E24" t="s">
        <v>20</v>
      </c>
      <c r="F24" t="s">
        <v>89</v>
      </c>
      <c r="G24" t="s">
        <v>26</v>
      </c>
      <c r="H24">
        <v>40</v>
      </c>
      <c r="I24">
        <v>3047</v>
      </c>
      <c r="J24" s="21">
        <v>45002</v>
      </c>
      <c r="K24" s="21" t="str">
        <f t="shared" si="0"/>
        <v>Mar</v>
      </c>
      <c r="L24">
        <f t="shared" si="1"/>
        <v>2023</v>
      </c>
      <c r="M24" s="23">
        <v>2250</v>
      </c>
      <c r="N24" s="23">
        <v>3000</v>
      </c>
      <c r="O24">
        <v>2</v>
      </c>
      <c r="P24" s="16">
        <f t="shared" si="2"/>
        <v>6000</v>
      </c>
      <c r="Q24" s="23"/>
      <c r="R24" s="23">
        <f t="shared" si="3"/>
        <v>6000</v>
      </c>
      <c r="S24" t="s">
        <v>28</v>
      </c>
      <c r="T24" t="s">
        <v>24</v>
      </c>
    </row>
    <row r="25" spans="1:20">
      <c r="A25">
        <v>1024</v>
      </c>
      <c r="B25">
        <v>2048</v>
      </c>
      <c r="C25" t="s">
        <v>92</v>
      </c>
      <c r="D25" t="s">
        <v>93</v>
      </c>
      <c r="E25" t="s">
        <v>20</v>
      </c>
      <c r="F25" t="s">
        <v>89</v>
      </c>
      <c r="G25" t="s">
        <v>31</v>
      </c>
      <c r="H25">
        <v>38</v>
      </c>
      <c r="I25">
        <v>3048</v>
      </c>
      <c r="J25" s="21">
        <v>45003</v>
      </c>
      <c r="K25" s="21" t="str">
        <f t="shared" si="0"/>
        <v>Mar</v>
      </c>
      <c r="L25">
        <f t="shared" si="1"/>
        <v>2023</v>
      </c>
      <c r="M25" s="23">
        <v>2625</v>
      </c>
      <c r="N25" s="23">
        <v>3500</v>
      </c>
      <c r="O25">
        <v>1</v>
      </c>
      <c r="P25" s="16">
        <f t="shared" si="2"/>
        <v>3500</v>
      </c>
      <c r="Q25" s="23"/>
      <c r="R25" s="23">
        <f t="shared" si="3"/>
        <v>3500</v>
      </c>
      <c r="S25" t="s">
        <v>23</v>
      </c>
      <c r="T25" t="s">
        <v>29</v>
      </c>
    </row>
    <row r="26" spans="1:20">
      <c r="A26">
        <v>1025</v>
      </c>
      <c r="B26">
        <v>2061</v>
      </c>
      <c r="C26" t="s">
        <v>96</v>
      </c>
      <c r="D26" t="s">
        <v>97</v>
      </c>
      <c r="E26" t="s">
        <v>94</v>
      </c>
      <c r="F26" t="s">
        <v>95</v>
      </c>
      <c r="G26" t="s">
        <v>26</v>
      </c>
      <c r="H26">
        <v>35</v>
      </c>
      <c r="I26">
        <v>3061</v>
      </c>
      <c r="J26" s="21">
        <v>44986</v>
      </c>
      <c r="K26" s="21" t="str">
        <f t="shared" si="0"/>
        <v>Mar</v>
      </c>
      <c r="L26">
        <f t="shared" si="1"/>
        <v>2023</v>
      </c>
      <c r="M26" s="23">
        <v>1460</v>
      </c>
      <c r="N26" s="23">
        <v>2000</v>
      </c>
      <c r="O26">
        <v>2</v>
      </c>
      <c r="P26" s="16">
        <f t="shared" si="2"/>
        <v>4000</v>
      </c>
      <c r="Q26" s="23"/>
      <c r="R26" s="23">
        <f t="shared" si="3"/>
        <v>4000</v>
      </c>
      <c r="S26" t="s">
        <v>23</v>
      </c>
      <c r="T26" t="s">
        <v>24</v>
      </c>
    </row>
    <row r="27" spans="1:20">
      <c r="A27">
        <v>1026</v>
      </c>
      <c r="B27">
        <v>2062</v>
      </c>
      <c r="C27" t="s">
        <v>98</v>
      </c>
      <c r="D27" t="s">
        <v>99</v>
      </c>
      <c r="E27" t="s">
        <v>94</v>
      </c>
      <c r="F27" t="s">
        <v>95</v>
      </c>
      <c r="G27" t="s">
        <v>31</v>
      </c>
      <c r="H27">
        <v>33</v>
      </c>
      <c r="I27">
        <v>3062</v>
      </c>
      <c r="J27" s="21">
        <v>44987</v>
      </c>
      <c r="K27" s="21" t="str">
        <f t="shared" si="0"/>
        <v>Mar</v>
      </c>
      <c r="L27">
        <f t="shared" si="1"/>
        <v>2023</v>
      </c>
      <c r="M27" s="23">
        <v>1825</v>
      </c>
      <c r="N27" s="23">
        <v>2500</v>
      </c>
      <c r="O27">
        <v>1</v>
      </c>
      <c r="P27" s="16">
        <f t="shared" si="2"/>
        <v>2500</v>
      </c>
      <c r="Q27" s="23"/>
      <c r="R27" s="23">
        <f t="shared" si="3"/>
        <v>2500</v>
      </c>
      <c r="S27" t="s">
        <v>28</v>
      </c>
      <c r="T27" t="s">
        <v>29</v>
      </c>
    </row>
    <row r="28" spans="1:20">
      <c r="A28">
        <v>1027</v>
      </c>
      <c r="B28">
        <v>2063</v>
      </c>
      <c r="C28" t="s">
        <v>101</v>
      </c>
      <c r="D28" t="s">
        <v>102</v>
      </c>
      <c r="E28" t="s">
        <v>32</v>
      </c>
      <c r="F28" t="s">
        <v>100</v>
      </c>
      <c r="G28" t="s">
        <v>26</v>
      </c>
      <c r="H28">
        <v>22</v>
      </c>
      <c r="I28">
        <v>3063</v>
      </c>
      <c r="J28" s="21">
        <v>44988</v>
      </c>
      <c r="K28" s="21" t="str">
        <f t="shared" si="0"/>
        <v>Mar</v>
      </c>
      <c r="L28">
        <f t="shared" si="1"/>
        <v>2023</v>
      </c>
      <c r="M28" s="23">
        <v>1105</v>
      </c>
      <c r="N28" s="23">
        <v>1700</v>
      </c>
      <c r="O28">
        <v>3</v>
      </c>
      <c r="P28" s="16">
        <f t="shared" si="2"/>
        <v>5100</v>
      </c>
      <c r="Q28" s="23"/>
      <c r="R28" s="23">
        <f t="shared" si="3"/>
        <v>5100</v>
      </c>
      <c r="S28" t="s">
        <v>23</v>
      </c>
      <c r="T28" t="s">
        <v>35</v>
      </c>
    </row>
    <row r="29" spans="1:20">
      <c r="A29">
        <v>1028</v>
      </c>
      <c r="B29">
        <v>2064</v>
      </c>
      <c r="C29" t="s">
        <v>103</v>
      </c>
      <c r="D29" t="s">
        <v>104</v>
      </c>
      <c r="E29" t="s">
        <v>32</v>
      </c>
      <c r="F29" t="s">
        <v>100</v>
      </c>
      <c r="G29" t="s">
        <v>31</v>
      </c>
      <c r="H29">
        <v>20</v>
      </c>
      <c r="I29">
        <v>3064</v>
      </c>
      <c r="J29" s="21">
        <v>44989</v>
      </c>
      <c r="K29" s="21" t="str">
        <f t="shared" si="0"/>
        <v>Mar</v>
      </c>
      <c r="L29">
        <f t="shared" si="1"/>
        <v>2023</v>
      </c>
      <c r="M29" s="23">
        <v>1365</v>
      </c>
      <c r="N29" s="23">
        <v>2100</v>
      </c>
      <c r="O29">
        <v>1</v>
      </c>
      <c r="P29" s="16">
        <f t="shared" si="2"/>
        <v>2100</v>
      </c>
      <c r="Q29" s="23"/>
      <c r="R29" s="23">
        <f t="shared" si="3"/>
        <v>2100</v>
      </c>
      <c r="S29" t="s">
        <v>23</v>
      </c>
      <c r="T29" t="s">
        <v>24</v>
      </c>
    </row>
    <row r="30" spans="1:20">
      <c r="A30">
        <v>1029</v>
      </c>
      <c r="B30">
        <v>2065</v>
      </c>
      <c r="C30" t="s">
        <v>106</v>
      </c>
      <c r="D30" t="s">
        <v>107</v>
      </c>
      <c r="E30" t="s">
        <v>40</v>
      </c>
      <c r="F30" t="s">
        <v>105</v>
      </c>
      <c r="G30" t="s">
        <v>26</v>
      </c>
      <c r="H30">
        <v>30</v>
      </c>
      <c r="I30">
        <v>3065</v>
      </c>
      <c r="J30" s="21">
        <v>44990</v>
      </c>
      <c r="K30" s="21" t="str">
        <f t="shared" si="0"/>
        <v>Mar</v>
      </c>
      <c r="L30">
        <f t="shared" si="1"/>
        <v>2023</v>
      </c>
      <c r="M30" s="23">
        <v>1035</v>
      </c>
      <c r="N30" s="23">
        <v>1500</v>
      </c>
      <c r="O30">
        <v>2</v>
      </c>
      <c r="P30" s="16">
        <f t="shared" si="2"/>
        <v>3000</v>
      </c>
      <c r="Q30" s="23"/>
      <c r="R30" s="23">
        <f t="shared" si="3"/>
        <v>3000</v>
      </c>
      <c r="S30" t="s">
        <v>28</v>
      </c>
      <c r="T30" t="s">
        <v>29</v>
      </c>
    </row>
    <row r="31" spans="1:20">
      <c r="A31">
        <v>1030</v>
      </c>
      <c r="B31">
        <v>2066</v>
      </c>
      <c r="C31" t="s">
        <v>108</v>
      </c>
      <c r="D31" t="s">
        <v>109</v>
      </c>
      <c r="E31" t="s">
        <v>40</v>
      </c>
      <c r="F31" t="s">
        <v>105</v>
      </c>
      <c r="G31" t="s">
        <v>31</v>
      </c>
      <c r="H31">
        <v>28</v>
      </c>
      <c r="I31">
        <v>3066</v>
      </c>
      <c r="J31" s="21">
        <v>44991</v>
      </c>
      <c r="K31" s="21" t="str">
        <f t="shared" si="0"/>
        <v>Mar</v>
      </c>
      <c r="L31">
        <f t="shared" si="1"/>
        <v>2023</v>
      </c>
      <c r="M31" s="23">
        <v>1242</v>
      </c>
      <c r="N31" s="23">
        <v>1800</v>
      </c>
      <c r="O31">
        <v>1</v>
      </c>
      <c r="P31" s="16">
        <f t="shared" si="2"/>
        <v>1800</v>
      </c>
      <c r="Q31" s="23"/>
      <c r="R31" s="23">
        <f t="shared" si="3"/>
        <v>1800</v>
      </c>
      <c r="S31" t="s">
        <v>23</v>
      </c>
      <c r="T31" t="s">
        <v>24</v>
      </c>
    </row>
    <row r="32" spans="1:20">
      <c r="A32">
        <v>1031</v>
      </c>
      <c r="B32">
        <v>2067</v>
      </c>
      <c r="C32" t="s">
        <v>111</v>
      </c>
      <c r="D32" t="s">
        <v>91</v>
      </c>
      <c r="E32" t="s">
        <v>94</v>
      </c>
      <c r="F32" t="s">
        <v>110</v>
      </c>
      <c r="G32" t="s">
        <v>26</v>
      </c>
      <c r="H32">
        <v>42</v>
      </c>
      <c r="I32">
        <v>3067</v>
      </c>
      <c r="J32" s="21">
        <v>44992</v>
      </c>
      <c r="K32" s="21" t="str">
        <f t="shared" si="0"/>
        <v>Mar</v>
      </c>
      <c r="L32">
        <f t="shared" si="1"/>
        <v>2023</v>
      </c>
      <c r="M32" s="23">
        <v>2080</v>
      </c>
      <c r="N32" s="23">
        <v>3200</v>
      </c>
      <c r="O32">
        <v>2</v>
      </c>
      <c r="P32" s="16">
        <f t="shared" si="2"/>
        <v>6400</v>
      </c>
      <c r="Q32" s="23"/>
      <c r="R32" s="23">
        <f t="shared" si="3"/>
        <v>6400</v>
      </c>
      <c r="S32" t="s">
        <v>28</v>
      </c>
      <c r="T32" t="s">
        <v>24</v>
      </c>
    </row>
    <row r="33" spans="1:20">
      <c r="A33">
        <v>1032</v>
      </c>
      <c r="B33">
        <v>2068</v>
      </c>
      <c r="C33" t="s">
        <v>112</v>
      </c>
      <c r="D33" t="s">
        <v>93</v>
      </c>
      <c r="E33" t="s">
        <v>94</v>
      </c>
      <c r="F33" t="s">
        <v>110</v>
      </c>
      <c r="G33" t="s">
        <v>31</v>
      </c>
      <c r="H33">
        <v>40</v>
      </c>
      <c r="I33">
        <v>3068</v>
      </c>
      <c r="J33" s="21">
        <v>44993</v>
      </c>
      <c r="K33" s="21" t="str">
        <f t="shared" si="0"/>
        <v>Mar</v>
      </c>
      <c r="L33">
        <f t="shared" si="1"/>
        <v>2023</v>
      </c>
      <c r="M33" s="23">
        <v>2405</v>
      </c>
      <c r="N33" s="23">
        <v>3700</v>
      </c>
      <c r="O33">
        <v>1</v>
      </c>
      <c r="P33" s="16">
        <f t="shared" si="2"/>
        <v>3700</v>
      </c>
      <c r="Q33" s="23"/>
      <c r="R33" s="23">
        <f t="shared" si="3"/>
        <v>3700</v>
      </c>
      <c r="S33" t="s">
        <v>23</v>
      </c>
      <c r="T33" t="s">
        <v>29</v>
      </c>
    </row>
    <row r="34" spans="1:20">
      <c r="A34">
        <v>1033</v>
      </c>
      <c r="B34">
        <v>2081</v>
      </c>
      <c r="C34" t="s">
        <v>115</v>
      </c>
      <c r="D34" t="s">
        <v>116</v>
      </c>
      <c r="E34" t="s">
        <v>113</v>
      </c>
      <c r="F34" t="s">
        <v>114</v>
      </c>
      <c r="G34" t="s">
        <v>26</v>
      </c>
      <c r="H34">
        <v>27</v>
      </c>
      <c r="I34">
        <v>3081</v>
      </c>
      <c r="J34" s="21">
        <v>44976</v>
      </c>
      <c r="K34" s="21" t="str">
        <f t="shared" si="0"/>
        <v>Feb</v>
      </c>
      <c r="L34">
        <f t="shared" si="1"/>
        <v>2023</v>
      </c>
      <c r="M34" s="23">
        <v>720</v>
      </c>
      <c r="N34" s="23">
        <v>1200</v>
      </c>
      <c r="O34">
        <v>2</v>
      </c>
      <c r="P34" s="16">
        <f t="shared" si="2"/>
        <v>2400</v>
      </c>
      <c r="Q34" s="23"/>
      <c r="R34" s="23">
        <f t="shared" si="3"/>
        <v>2400</v>
      </c>
      <c r="S34" t="s">
        <v>23</v>
      </c>
      <c r="T34" t="s">
        <v>24</v>
      </c>
    </row>
    <row r="35" spans="1:20">
      <c r="A35">
        <v>1034</v>
      </c>
      <c r="B35">
        <v>2082</v>
      </c>
      <c r="C35" t="s">
        <v>117</v>
      </c>
      <c r="D35" t="s">
        <v>118</v>
      </c>
      <c r="E35" t="s">
        <v>113</v>
      </c>
      <c r="F35" t="s">
        <v>114</v>
      </c>
      <c r="G35" t="s">
        <v>31</v>
      </c>
      <c r="H35">
        <v>25</v>
      </c>
      <c r="I35">
        <v>3082</v>
      </c>
      <c r="J35" s="21">
        <v>44977</v>
      </c>
      <c r="K35" s="21" t="str">
        <f t="shared" si="0"/>
        <v>Feb</v>
      </c>
      <c r="L35">
        <f t="shared" si="1"/>
        <v>2023</v>
      </c>
      <c r="M35" s="23">
        <v>900</v>
      </c>
      <c r="N35" s="23">
        <v>1500</v>
      </c>
      <c r="O35">
        <v>1</v>
      </c>
      <c r="P35" s="16">
        <f t="shared" si="2"/>
        <v>1500</v>
      </c>
      <c r="Q35" s="23"/>
      <c r="R35" s="23">
        <f t="shared" si="3"/>
        <v>1500</v>
      </c>
      <c r="S35" t="s">
        <v>28</v>
      </c>
      <c r="T35" t="s">
        <v>29</v>
      </c>
    </row>
    <row r="36" spans="1:20">
      <c r="A36">
        <v>1035</v>
      </c>
      <c r="B36">
        <v>2083</v>
      </c>
      <c r="C36" t="s">
        <v>120</v>
      </c>
      <c r="D36" t="s">
        <v>121</v>
      </c>
      <c r="E36" t="s">
        <v>32</v>
      </c>
      <c r="F36" t="s">
        <v>119</v>
      </c>
      <c r="G36" t="s">
        <v>26</v>
      </c>
      <c r="H36">
        <v>18</v>
      </c>
      <c r="I36">
        <v>3083</v>
      </c>
      <c r="J36" s="21">
        <v>44978</v>
      </c>
      <c r="K36" s="21" t="str">
        <f t="shared" si="0"/>
        <v>Feb</v>
      </c>
      <c r="L36">
        <f t="shared" si="1"/>
        <v>2023</v>
      </c>
      <c r="M36" s="23">
        <v>1932</v>
      </c>
      <c r="N36" s="23">
        <v>2800</v>
      </c>
      <c r="O36">
        <v>3</v>
      </c>
      <c r="P36" s="16">
        <f t="shared" si="2"/>
        <v>8400</v>
      </c>
      <c r="Q36" s="23"/>
      <c r="R36" s="23">
        <f t="shared" si="3"/>
        <v>8400</v>
      </c>
      <c r="S36" t="s">
        <v>23</v>
      </c>
      <c r="T36" t="s">
        <v>35</v>
      </c>
    </row>
    <row r="37" spans="1:20">
      <c r="A37">
        <v>1036</v>
      </c>
      <c r="B37">
        <v>2084</v>
      </c>
      <c r="C37" t="s">
        <v>122</v>
      </c>
      <c r="D37" t="s">
        <v>123</v>
      </c>
      <c r="E37" t="s">
        <v>32</v>
      </c>
      <c r="F37" t="s">
        <v>119</v>
      </c>
      <c r="G37" t="s">
        <v>31</v>
      </c>
      <c r="H37">
        <v>16</v>
      </c>
      <c r="I37">
        <v>3084</v>
      </c>
      <c r="J37" s="21">
        <v>44979</v>
      </c>
      <c r="K37" s="21" t="str">
        <f t="shared" si="0"/>
        <v>Feb</v>
      </c>
      <c r="L37">
        <f t="shared" si="1"/>
        <v>2023</v>
      </c>
      <c r="M37" s="23">
        <v>2208</v>
      </c>
      <c r="N37" s="23">
        <v>3200</v>
      </c>
      <c r="O37">
        <v>1</v>
      </c>
      <c r="P37" s="16">
        <f t="shared" si="2"/>
        <v>3200</v>
      </c>
      <c r="Q37" s="23"/>
      <c r="R37" s="23">
        <f t="shared" si="3"/>
        <v>3200</v>
      </c>
      <c r="S37" t="s">
        <v>23</v>
      </c>
      <c r="T37" t="s">
        <v>24</v>
      </c>
    </row>
    <row r="38" spans="1:20">
      <c r="A38">
        <v>1037</v>
      </c>
      <c r="B38">
        <v>2085</v>
      </c>
      <c r="C38" t="s">
        <v>125</v>
      </c>
      <c r="D38" t="s">
        <v>126</v>
      </c>
      <c r="E38" t="s">
        <v>40</v>
      </c>
      <c r="F38" t="s">
        <v>124</v>
      </c>
      <c r="G38" t="s">
        <v>26</v>
      </c>
      <c r="H38">
        <v>33</v>
      </c>
      <c r="I38">
        <v>3085</v>
      </c>
      <c r="J38" s="21">
        <v>44980</v>
      </c>
      <c r="K38" s="21" t="str">
        <f t="shared" si="0"/>
        <v>Feb</v>
      </c>
      <c r="L38">
        <f t="shared" si="1"/>
        <v>2023</v>
      </c>
      <c r="M38" s="23">
        <v>1500</v>
      </c>
      <c r="N38" s="23">
        <v>2000</v>
      </c>
      <c r="O38">
        <v>2</v>
      </c>
      <c r="P38" s="16">
        <f t="shared" si="2"/>
        <v>4000</v>
      </c>
      <c r="Q38" s="23"/>
      <c r="R38" s="23">
        <f t="shared" si="3"/>
        <v>4000</v>
      </c>
      <c r="S38" t="s">
        <v>28</v>
      </c>
      <c r="T38" t="s">
        <v>29</v>
      </c>
    </row>
    <row r="39" spans="1:20">
      <c r="A39">
        <v>1038</v>
      </c>
      <c r="B39">
        <v>2086</v>
      </c>
      <c r="C39" t="s">
        <v>127</v>
      </c>
      <c r="D39" t="s">
        <v>128</v>
      </c>
      <c r="E39" t="s">
        <v>40</v>
      </c>
      <c r="F39" t="s">
        <v>124</v>
      </c>
      <c r="G39" t="s">
        <v>31</v>
      </c>
      <c r="H39">
        <v>30</v>
      </c>
      <c r="I39">
        <v>3086</v>
      </c>
      <c r="J39" s="21">
        <v>44981</v>
      </c>
      <c r="K39" s="21" t="str">
        <f t="shared" si="0"/>
        <v>Feb</v>
      </c>
      <c r="L39">
        <f t="shared" si="1"/>
        <v>2023</v>
      </c>
      <c r="M39" s="23">
        <v>1800</v>
      </c>
      <c r="N39" s="23">
        <v>2400</v>
      </c>
      <c r="O39">
        <v>1</v>
      </c>
      <c r="P39" s="16">
        <f t="shared" si="2"/>
        <v>2400</v>
      </c>
      <c r="Q39" s="23"/>
      <c r="R39" s="23">
        <f t="shared" si="3"/>
        <v>2400</v>
      </c>
      <c r="S39" t="s">
        <v>23</v>
      </c>
      <c r="T39" t="s">
        <v>24</v>
      </c>
    </row>
    <row r="40" spans="1:20">
      <c r="A40">
        <v>1039</v>
      </c>
      <c r="B40">
        <v>2087</v>
      </c>
      <c r="C40" t="s">
        <v>129</v>
      </c>
      <c r="D40" t="s">
        <v>130</v>
      </c>
      <c r="E40" t="s">
        <v>20</v>
      </c>
      <c r="F40" t="s">
        <v>46</v>
      </c>
      <c r="G40" t="s">
        <v>26</v>
      </c>
      <c r="H40">
        <v>34</v>
      </c>
      <c r="I40">
        <v>3087</v>
      </c>
      <c r="J40" s="21">
        <v>44982</v>
      </c>
      <c r="K40" s="21" t="str">
        <f t="shared" si="0"/>
        <v>Feb</v>
      </c>
      <c r="L40">
        <f t="shared" si="1"/>
        <v>2023</v>
      </c>
      <c r="M40" s="23">
        <v>2291</v>
      </c>
      <c r="N40" s="23">
        <v>2900</v>
      </c>
      <c r="O40">
        <v>2</v>
      </c>
      <c r="P40" s="16">
        <f t="shared" si="2"/>
        <v>5800</v>
      </c>
      <c r="Q40" s="23"/>
      <c r="R40" s="23">
        <f t="shared" si="3"/>
        <v>5800</v>
      </c>
      <c r="S40" t="s">
        <v>28</v>
      </c>
      <c r="T40" t="s">
        <v>24</v>
      </c>
    </row>
    <row r="41" spans="1:20">
      <c r="A41">
        <v>1040</v>
      </c>
      <c r="B41">
        <v>2088</v>
      </c>
      <c r="C41" t="s">
        <v>131</v>
      </c>
      <c r="D41" t="s">
        <v>132</v>
      </c>
      <c r="E41" t="s">
        <v>20</v>
      </c>
      <c r="F41" t="s">
        <v>46</v>
      </c>
      <c r="G41" t="s">
        <v>31</v>
      </c>
      <c r="H41">
        <v>32</v>
      </c>
      <c r="I41">
        <v>3088</v>
      </c>
      <c r="J41" s="21">
        <v>44983</v>
      </c>
      <c r="K41" s="21" t="str">
        <f t="shared" si="0"/>
        <v>Feb</v>
      </c>
      <c r="L41">
        <f t="shared" si="1"/>
        <v>2023</v>
      </c>
      <c r="M41" s="23">
        <v>2607</v>
      </c>
      <c r="N41" s="23">
        <v>3300</v>
      </c>
      <c r="O41">
        <v>1</v>
      </c>
      <c r="P41" s="16">
        <f t="shared" si="2"/>
        <v>3300</v>
      </c>
      <c r="Q41" s="23"/>
      <c r="R41" s="23">
        <f t="shared" si="3"/>
        <v>3300</v>
      </c>
      <c r="S41" t="s">
        <v>28</v>
      </c>
      <c r="T41" t="s">
        <v>29</v>
      </c>
    </row>
    <row r="42" spans="1:20">
      <c r="A42">
        <v>1041</v>
      </c>
      <c r="B42">
        <v>2101</v>
      </c>
      <c r="C42" t="s">
        <v>135</v>
      </c>
      <c r="D42" t="s">
        <v>136</v>
      </c>
      <c r="E42" t="s">
        <v>133</v>
      </c>
      <c r="F42" t="s">
        <v>134</v>
      </c>
      <c r="G42" t="s">
        <v>26</v>
      </c>
      <c r="H42">
        <v>10</v>
      </c>
      <c r="I42">
        <v>3101</v>
      </c>
      <c r="J42" s="21">
        <v>44958</v>
      </c>
      <c r="K42" s="21" t="str">
        <f t="shared" si="0"/>
        <v>Feb</v>
      </c>
      <c r="L42">
        <f t="shared" si="1"/>
        <v>2023</v>
      </c>
      <c r="M42" s="23">
        <v>90</v>
      </c>
      <c r="N42" s="23">
        <v>150</v>
      </c>
      <c r="O42">
        <v>2</v>
      </c>
      <c r="P42" s="16">
        <f t="shared" si="2"/>
        <v>300</v>
      </c>
      <c r="Q42" s="23"/>
      <c r="R42" s="23">
        <f t="shared" si="3"/>
        <v>300</v>
      </c>
      <c r="S42" t="s">
        <v>23</v>
      </c>
      <c r="T42" t="s">
        <v>24</v>
      </c>
    </row>
    <row r="43" spans="1:20">
      <c r="A43">
        <v>1042</v>
      </c>
      <c r="B43">
        <v>2102</v>
      </c>
      <c r="C43" t="s">
        <v>137</v>
      </c>
      <c r="D43" t="s">
        <v>138</v>
      </c>
      <c r="E43" t="s">
        <v>133</v>
      </c>
      <c r="F43" t="s">
        <v>134</v>
      </c>
      <c r="G43" t="s">
        <v>31</v>
      </c>
      <c r="H43">
        <v>9</v>
      </c>
      <c r="I43">
        <v>3102</v>
      </c>
      <c r="J43" s="21">
        <v>44959</v>
      </c>
      <c r="K43" s="21" t="str">
        <f t="shared" si="0"/>
        <v>Feb</v>
      </c>
      <c r="L43">
        <f t="shared" si="1"/>
        <v>2023</v>
      </c>
      <c r="M43" s="23">
        <v>120</v>
      </c>
      <c r="N43" s="23">
        <v>200</v>
      </c>
      <c r="O43">
        <v>1</v>
      </c>
      <c r="P43" s="16">
        <f t="shared" si="2"/>
        <v>200</v>
      </c>
      <c r="Q43" s="23"/>
      <c r="R43" s="23">
        <f t="shared" si="3"/>
        <v>200</v>
      </c>
      <c r="S43" t="s">
        <v>28</v>
      </c>
      <c r="T43" t="s">
        <v>29</v>
      </c>
    </row>
    <row r="44" spans="1:20">
      <c r="A44">
        <v>1043</v>
      </c>
      <c r="B44">
        <v>2103</v>
      </c>
      <c r="C44" t="s">
        <v>141</v>
      </c>
      <c r="D44" t="s">
        <v>142</v>
      </c>
      <c r="E44" t="s">
        <v>139</v>
      </c>
      <c r="F44" t="s">
        <v>140</v>
      </c>
      <c r="G44" t="s">
        <v>26</v>
      </c>
      <c r="H44">
        <v>25</v>
      </c>
      <c r="I44">
        <v>3103</v>
      </c>
      <c r="J44" s="21">
        <v>44960</v>
      </c>
      <c r="K44" s="21" t="str">
        <f t="shared" si="0"/>
        <v>Feb</v>
      </c>
      <c r="L44">
        <f t="shared" si="1"/>
        <v>2023</v>
      </c>
      <c r="M44" s="23">
        <v>240</v>
      </c>
      <c r="N44" s="23">
        <v>400</v>
      </c>
      <c r="O44">
        <v>3</v>
      </c>
      <c r="P44" s="16">
        <f t="shared" si="2"/>
        <v>1200</v>
      </c>
      <c r="Q44" s="23"/>
      <c r="R44" s="23">
        <f t="shared" si="3"/>
        <v>1200</v>
      </c>
      <c r="S44" t="s">
        <v>23</v>
      </c>
      <c r="T44" t="s">
        <v>35</v>
      </c>
    </row>
    <row r="45" spans="1:20">
      <c r="A45">
        <v>1044</v>
      </c>
      <c r="B45">
        <v>2104</v>
      </c>
      <c r="C45" t="s">
        <v>143</v>
      </c>
      <c r="D45" t="s">
        <v>144</v>
      </c>
      <c r="E45" t="s">
        <v>139</v>
      </c>
      <c r="F45" t="s">
        <v>140</v>
      </c>
      <c r="G45" t="s">
        <v>31</v>
      </c>
      <c r="H45">
        <v>23</v>
      </c>
      <c r="I45">
        <v>3104</v>
      </c>
      <c r="J45" s="21">
        <v>44961</v>
      </c>
      <c r="K45" s="21" t="str">
        <f t="shared" si="0"/>
        <v>Feb</v>
      </c>
      <c r="L45">
        <f t="shared" si="1"/>
        <v>2023</v>
      </c>
      <c r="M45" s="23">
        <v>360</v>
      </c>
      <c r="N45" s="23">
        <v>600</v>
      </c>
      <c r="O45">
        <v>1</v>
      </c>
      <c r="P45" s="16">
        <f t="shared" si="2"/>
        <v>600</v>
      </c>
      <c r="Q45" s="23"/>
      <c r="R45" s="23">
        <f t="shared" si="3"/>
        <v>600</v>
      </c>
      <c r="S45" t="s">
        <v>23</v>
      </c>
      <c r="T45" t="s">
        <v>24</v>
      </c>
    </row>
    <row r="46" spans="1:20">
      <c r="A46">
        <v>1045</v>
      </c>
      <c r="B46">
        <v>2105</v>
      </c>
      <c r="C46" t="s">
        <v>145</v>
      </c>
      <c r="D46" t="s">
        <v>146</v>
      </c>
      <c r="E46" t="s">
        <v>20</v>
      </c>
      <c r="F46" t="s">
        <v>21</v>
      </c>
      <c r="G46" t="s">
        <v>26</v>
      </c>
      <c r="H46">
        <v>29</v>
      </c>
      <c r="I46">
        <v>3105</v>
      </c>
      <c r="J46" s="21">
        <v>44962</v>
      </c>
      <c r="K46" s="21" t="str">
        <f t="shared" si="0"/>
        <v>Feb</v>
      </c>
      <c r="L46">
        <f t="shared" si="1"/>
        <v>2023</v>
      </c>
      <c r="M46" s="23">
        <v>1296</v>
      </c>
      <c r="N46" s="23">
        <v>1800</v>
      </c>
      <c r="O46">
        <v>2</v>
      </c>
      <c r="P46" s="16">
        <f t="shared" si="2"/>
        <v>3600</v>
      </c>
      <c r="Q46" s="23"/>
      <c r="R46" s="23">
        <f t="shared" si="3"/>
        <v>3600</v>
      </c>
      <c r="S46" t="s">
        <v>28</v>
      </c>
      <c r="T46" t="s">
        <v>29</v>
      </c>
    </row>
    <row r="47" spans="1:20">
      <c r="A47">
        <v>1046</v>
      </c>
      <c r="B47">
        <v>2106</v>
      </c>
      <c r="C47" t="s">
        <v>147</v>
      </c>
      <c r="D47" t="s">
        <v>148</v>
      </c>
      <c r="E47" t="s">
        <v>20</v>
      </c>
      <c r="F47" t="s">
        <v>21</v>
      </c>
      <c r="G47" t="s">
        <v>31</v>
      </c>
      <c r="H47">
        <v>27</v>
      </c>
      <c r="I47">
        <v>3106</v>
      </c>
      <c r="J47" s="21">
        <v>44963</v>
      </c>
      <c r="K47" s="21" t="str">
        <f t="shared" si="0"/>
        <v>Feb</v>
      </c>
      <c r="L47">
        <f t="shared" si="1"/>
        <v>2023</v>
      </c>
      <c r="M47" s="23">
        <v>1728</v>
      </c>
      <c r="N47" s="23">
        <v>2400</v>
      </c>
      <c r="O47">
        <v>1</v>
      </c>
      <c r="P47" s="16">
        <f t="shared" si="2"/>
        <v>2400</v>
      </c>
      <c r="Q47" s="23"/>
      <c r="R47" s="23">
        <f t="shared" si="3"/>
        <v>2400</v>
      </c>
      <c r="S47" t="s">
        <v>23</v>
      </c>
      <c r="T47" t="s">
        <v>24</v>
      </c>
    </row>
    <row r="48" spans="1:20">
      <c r="A48">
        <v>1047</v>
      </c>
      <c r="B48">
        <v>2107</v>
      </c>
      <c r="C48" t="s">
        <v>150</v>
      </c>
      <c r="D48" t="s">
        <v>151</v>
      </c>
      <c r="E48" t="s">
        <v>32</v>
      </c>
      <c r="F48" t="s">
        <v>149</v>
      </c>
      <c r="G48" t="s">
        <v>26</v>
      </c>
      <c r="H48">
        <v>20</v>
      </c>
      <c r="I48">
        <v>3107</v>
      </c>
      <c r="J48" s="21">
        <v>44964</v>
      </c>
      <c r="K48" s="21" t="str">
        <f t="shared" si="0"/>
        <v>Feb</v>
      </c>
      <c r="L48">
        <f t="shared" si="1"/>
        <v>2023</v>
      </c>
      <c r="M48" s="23">
        <v>1491</v>
      </c>
      <c r="N48" s="23">
        <v>2100</v>
      </c>
      <c r="O48">
        <v>2</v>
      </c>
      <c r="P48" s="16">
        <f t="shared" si="2"/>
        <v>4200</v>
      </c>
      <c r="Q48" s="23"/>
      <c r="R48" s="23">
        <f t="shared" si="3"/>
        <v>4200</v>
      </c>
      <c r="S48" t="s">
        <v>28</v>
      </c>
      <c r="T48" t="s">
        <v>24</v>
      </c>
    </row>
    <row r="49" spans="1:20">
      <c r="A49">
        <v>1048</v>
      </c>
      <c r="B49">
        <v>2108</v>
      </c>
      <c r="C49" t="s">
        <v>152</v>
      </c>
      <c r="D49" t="s">
        <v>153</v>
      </c>
      <c r="E49" t="s">
        <v>32</v>
      </c>
      <c r="F49" t="s">
        <v>149</v>
      </c>
      <c r="G49" t="s">
        <v>31</v>
      </c>
      <c r="H49">
        <v>18</v>
      </c>
      <c r="I49">
        <v>3108</v>
      </c>
      <c r="J49" s="21">
        <v>44965</v>
      </c>
      <c r="K49" s="21" t="str">
        <f t="shared" si="0"/>
        <v>Feb</v>
      </c>
      <c r="L49">
        <f t="shared" si="1"/>
        <v>2023</v>
      </c>
      <c r="M49" s="23">
        <v>1846</v>
      </c>
      <c r="N49" s="23">
        <v>2600</v>
      </c>
      <c r="O49">
        <v>1</v>
      </c>
      <c r="P49" s="16">
        <f t="shared" si="2"/>
        <v>2600</v>
      </c>
      <c r="Q49" s="23"/>
      <c r="R49" s="23">
        <f t="shared" si="3"/>
        <v>2600</v>
      </c>
      <c r="S49" t="s">
        <v>23</v>
      </c>
      <c r="T49" t="s">
        <v>29</v>
      </c>
    </row>
    <row r="50" spans="1:20">
      <c r="A50">
        <v>1049</v>
      </c>
      <c r="B50">
        <v>2001</v>
      </c>
      <c r="C50" t="s">
        <v>22</v>
      </c>
      <c r="D50" t="s">
        <v>25</v>
      </c>
      <c r="E50" t="s">
        <v>20</v>
      </c>
      <c r="F50" t="s">
        <v>21</v>
      </c>
      <c r="G50" t="s">
        <v>26</v>
      </c>
      <c r="H50">
        <v>25</v>
      </c>
      <c r="I50">
        <v>3001</v>
      </c>
      <c r="J50" s="21">
        <v>44562</v>
      </c>
      <c r="K50" s="21" t="str">
        <f t="shared" si="0"/>
        <v>Jan</v>
      </c>
      <c r="L50">
        <f t="shared" si="1"/>
        <v>2022</v>
      </c>
      <c r="M50" s="23">
        <v>840</v>
      </c>
      <c r="N50" s="23">
        <v>1200</v>
      </c>
      <c r="O50">
        <v>2</v>
      </c>
      <c r="P50" s="16">
        <f t="shared" si="2"/>
        <v>2400</v>
      </c>
      <c r="Q50" s="23"/>
      <c r="R50" s="23">
        <f t="shared" si="3"/>
        <v>2400</v>
      </c>
      <c r="S50" t="s">
        <v>23</v>
      </c>
      <c r="T50" t="s">
        <v>24</v>
      </c>
    </row>
    <row r="51" spans="1:20">
      <c r="A51">
        <v>1050</v>
      </c>
      <c r="B51">
        <v>2002</v>
      </c>
      <c r="C51" t="s">
        <v>27</v>
      </c>
      <c r="D51" t="s">
        <v>30</v>
      </c>
      <c r="E51" t="s">
        <v>20</v>
      </c>
      <c r="F51" t="s">
        <v>21</v>
      </c>
      <c r="G51" t="s">
        <v>31</v>
      </c>
      <c r="H51">
        <v>22</v>
      </c>
      <c r="I51">
        <v>3002</v>
      </c>
      <c r="J51" s="21">
        <v>44563</v>
      </c>
      <c r="K51" s="21" t="str">
        <f t="shared" si="0"/>
        <v>Jan</v>
      </c>
      <c r="L51">
        <f t="shared" si="1"/>
        <v>2022</v>
      </c>
      <c r="M51" s="23">
        <v>1050</v>
      </c>
      <c r="N51" s="23">
        <v>1500</v>
      </c>
      <c r="O51">
        <v>1</v>
      </c>
      <c r="P51" s="16">
        <f t="shared" si="2"/>
        <v>1500</v>
      </c>
      <c r="Q51" s="23"/>
      <c r="R51" s="23">
        <f t="shared" si="3"/>
        <v>1500</v>
      </c>
      <c r="S51" t="s">
        <v>28</v>
      </c>
      <c r="T51" t="s">
        <v>29</v>
      </c>
    </row>
    <row r="52" spans="1:20">
      <c r="A52">
        <v>1051</v>
      </c>
      <c r="B52">
        <v>2003</v>
      </c>
      <c r="C52" t="s">
        <v>34</v>
      </c>
      <c r="D52" t="s">
        <v>36</v>
      </c>
      <c r="E52" t="s">
        <v>32</v>
      </c>
      <c r="F52" t="s">
        <v>33</v>
      </c>
      <c r="G52" t="s">
        <v>26</v>
      </c>
      <c r="H52">
        <v>18</v>
      </c>
      <c r="I52">
        <v>3003</v>
      </c>
      <c r="J52" s="21">
        <v>44564</v>
      </c>
      <c r="K52" s="21" t="str">
        <f t="shared" si="0"/>
        <v>Jan</v>
      </c>
      <c r="L52">
        <f t="shared" si="1"/>
        <v>2022</v>
      </c>
      <c r="M52" s="23">
        <v>1260</v>
      </c>
      <c r="N52" s="23">
        <v>1800</v>
      </c>
      <c r="O52">
        <v>3</v>
      </c>
      <c r="P52" s="16">
        <f t="shared" si="2"/>
        <v>5400</v>
      </c>
      <c r="Q52" s="23"/>
      <c r="R52" s="23">
        <f t="shared" si="3"/>
        <v>5400</v>
      </c>
      <c r="S52" t="s">
        <v>23</v>
      </c>
      <c r="T52" t="s">
        <v>35</v>
      </c>
    </row>
    <row r="53" spans="1:20">
      <c r="A53">
        <v>1052</v>
      </c>
      <c r="B53">
        <v>2004</v>
      </c>
      <c r="C53" t="s">
        <v>38</v>
      </c>
      <c r="D53" t="s">
        <v>39</v>
      </c>
      <c r="E53" t="s">
        <v>32</v>
      </c>
      <c r="F53" t="s">
        <v>33</v>
      </c>
      <c r="G53" t="s">
        <v>31</v>
      </c>
      <c r="H53">
        <v>16</v>
      </c>
      <c r="I53">
        <v>3004</v>
      </c>
      <c r="J53" s="21">
        <v>44565</v>
      </c>
      <c r="K53" s="21" t="str">
        <f t="shared" si="0"/>
        <v>Jan</v>
      </c>
      <c r="L53">
        <f t="shared" si="1"/>
        <v>2022</v>
      </c>
      <c r="M53" s="23">
        <v>1470</v>
      </c>
      <c r="N53" s="23">
        <v>2100</v>
      </c>
      <c r="O53">
        <v>1</v>
      </c>
      <c r="P53" s="16">
        <f t="shared" si="2"/>
        <v>2100</v>
      </c>
      <c r="Q53" s="23"/>
      <c r="R53" s="23">
        <f t="shared" si="3"/>
        <v>2100</v>
      </c>
      <c r="S53" t="s">
        <v>23</v>
      </c>
      <c r="T53" t="s">
        <v>24</v>
      </c>
    </row>
    <row r="54" spans="1:20">
      <c r="A54">
        <v>1053</v>
      </c>
      <c r="B54">
        <v>2005</v>
      </c>
      <c r="C54" t="s">
        <v>42</v>
      </c>
      <c r="D54" t="s">
        <v>43</v>
      </c>
      <c r="E54" t="s">
        <v>40</v>
      </c>
      <c r="F54" t="s">
        <v>41</v>
      </c>
      <c r="G54" t="s">
        <v>26</v>
      </c>
      <c r="H54">
        <v>27</v>
      </c>
      <c r="I54">
        <v>3005</v>
      </c>
      <c r="J54" s="21">
        <v>44566</v>
      </c>
      <c r="K54" s="21" t="str">
        <f t="shared" si="0"/>
        <v>Jan</v>
      </c>
      <c r="L54">
        <f t="shared" si="1"/>
        <v>2022</v>
      </c>
      <c r="M54" s="23">
        <v>897</v>
      </c>
      <c r="N54" s="23">
        <v>1300</v>
      </c>
      <c r="O54">
        <v>2</v>
      </c>
      <c r="P54" s="16">
        <f t="shared" si="2"/>
        <v>2600</v>
      </c>
      <c r="Q54" s="23"/>
      <c r="R54" s="23">
        <f t="shared" si="3"/>
        <v>2600</v>
      </c>
      <c r="S54" t="s">
        <v>28</v>
      </c>
      <c r="T54" t="s">
        <v>29</v>
      </c>
    </row>
    <row r="55" spans="1:20">
      <c r="A55">
        <v>1054</v>
      </c>
      <c r="B55">
        <v>2006</v>
      </c>
      <c r="C55" t="s">
        <v>44</v>
      </c>
      <c r="D55" t="s">
        <v>45</v>
      </c>
      <c r="E55" t="s">
        <v>40</v>
      </c>
      <c r="F55" t="s">
        <v>41</v>
      </c>
      <c r="G55" t="s">
        <v>31</v>
      </c>
      <c r="H55">
        <v>24</v>
      </c>
      <c r="I55">
        <v>3006</v>
      </c>
      <c r="J55" s="21">
        <v>44567</v>
      </c>
      <c r="K55" s="21" t="str">
        <f t="shared" si="0"/>
        <v>Jan</v>
      </c>
      <c r="L55">
        <f t="shared" si="1"/>
        <v>2022</v>
      </c>
      <c r="M55" s="23">
        <v>1104</v>
      </c>
      <c r="N55" s="23">
        <v>1600</v>
      </c>
      <c r="O55">
        <v>1</v>
      </c>
      <c r="P55" s="16">
        <f t="shared" si="2"/>
        <v>1600</v>
      </c>
      <c r="Q55" s="23"/>
      <c r="R55" s="23">
        <f t="shared" si="3"/>
        <v>1600</v>
      </c>
      <c r="S55" t="s">
        <v>23</v>
      </c>
      <c r="T55" t="s">
        <v>24</v>
      </c>
    </row>
    <row r="56" spans="1:20">
      <c r="A56">
        <v>1055</v>
      </c>
      <c r="B56">
        <v>2045</v>
      </c>
      <c r="C56" t="s">
        <v>85</v>
      </c>
      <c r="D56" t="s">
        <v>86</v>
      </c>
      <c r="E56" t="s">
        <v>40</v>
      </c>
      <c r="F56" t="s">
        <v>84</v>
      </c>
      <c r="G56" t="s">
        <v>26</v>
      </c>
      <c r="H56">
        <v>36</v>
      </c>
      <c r="I56">
        <v>3045</v>
      </c>
      <c r="J56" s="21">
        <v>44576</v>
      </c>
      <c r="K56" s="21" t="str">
        <f t="shared" si="0"/>
        <v>Jan</v>
      </c>
      <c r="L56">
        <f t="shared" si="1"/>
        <v>2022</v>
      </c>
      <c r="M56" s="23">
        <v>1340</v>
      </c>
      <c r="N56" s="23">
        <v>2000</v>
      </c>
      <c r="O56">
        <v>2</v>
      </c>
      <c r="P56" s="16">
        <f t="shared" si="2"/>
        <v>4000</v>
      </c>
      <c r="Q56" s="23"/>
      <c r="R56" s="23">
        <f t="shared" si="3"/>
        <v>4000</v>
      </c>
      <c r="S56" t="s">
        <v>28</v>
      </c>
      <c r="T56" t="s">
        <v>29</v>
      </c>
    </row>
    <row r="57" spans="1:20">
      <c r="A57">
        <v>1056</v>
      </c>
      <c r="B57">
        <v>2046</v>
      </c>
      <c r="C57" t="s">
        <v>87</v>
      </c>
      <c r="D57" t="s">
        <v>88</v>
      </c>
      <c r="E57" t="s">
        <v>40</v>
      </c>
      <c r="F57" t="s">
        <v>84</v>
      </c>
      <c r="G57" t="s">
        <v>31</v>
      </c>
      <c r="H57">
        <v>34</v>
      </c>
      <c r="I57">
        <v>3046</v>
      </c>
      <c r="J57" s="21">
        <v>44577</v>
      </c>
      <c r="K57" s="21" t="str">
        <f t="shared" si="0"/>
        <v>Jan</v>
      </c>
      <c r="L57">
        <f t="shared" si="1"/>
        <v>2022</v>
      </c>
      <c r="M57" s="23">
        <v>1541</v>
      </c>
      <c r="N57" s="23">
        <v>2300</v>
      </c>
      <c r="O57">
        <v>1</v>
      </c>
      <c r="P57" s="16">
        <f t="shared" si="2"/>
        <v>2300</v>
      </c>
      <c r="Q57" s="23"/>
      <c r="R57" s="23">
        <f t="shared" si="3"/>
        <v>2300</v>
      </c>
      <c r="S57" t="s">
        <v>23</v>
      </c>
      <c r="T57" t="s">
        <v>24</v>
      </c>
    </row>
    <row r="58" spans="1:20">
      <c r="A58">
        <v>1057</v>
      </c>
      <c r="B58">
        <v>2047</v>
      </c>
      <c r="C58" t="s">
        <v>90</v>
      </c>
      <c r="D58" t="s">
        <v>91</v>
      </c>
      <c r="E58" t="s">
        <v>20</v>
      </c>
      <c r="F58" t="s">
        <v>89</v>
      </c>
      <c r="G58" t="s">
        <v>26</v>
      </c>
      <c r="H58">
        <v>40</v>
      </c>
      <c r="I58">
        <v>3047</v>
      </c>
      <c r="J58" s="21">
        <v>44578</v>
      </c>
      <c r="K58" s="21" t="str">
        <f t="shared" si="0"/>
        <v>Jan</v>
      </c>
      <c r="L58">
        <f t="shared" si="1"/>
        <v>2022</v>
      </c>
      <c r="M58" s="23">
        <v>2250</v>
      </c>
      <c r="N58" s="23">
        <v>3000</v>
      </c>
      <c r="O58">
        <v>2</v>
      </c>
      <c r="P58" s="16">
        <f t="shared" si="2"/>
        <v>6000</v>
      </c>
      <c r="Q58" s="23"/>
      <c r="R58" s="23">
        <f t="shared" si="3"/>
        <v>6000</v>
      </c>
      <c r="S58" t="s">
        <v>28</v>
      </c>
      <c r="T58" t="s">
        <v>24</v>
      </c>
    </row>
    <row r="59" spans="1:20">
      <c r="A59">
        <v>1058</v>
      </c>
      <c r="B59">
        <v>2048</v>
      </c>
      <c r="C59" t="s">
        <v>92</v>
      </c>
      <c r="D59" t="s">
        <v>93</v>
      </c>
      <c r="E59" t="s">
        <v>20</v>
      </c>
      <c r="F59" t="s">
        <v>89</v>
      </c>
      <c r="G59" t="s">
        <v>31</v>
      </c>
      <c r="H59">
        <v>38</v>
      </c>
      <c r="I59">
        <v>3048</v>
      </c>
      <c r="J59" s="21">
        <v>44579</v>
      </c>
      <c r="K59" s="21" t="str">
        <f t="shared" si="0"/>
        <v>Jan</v>
      </c>
      <c r="L59">
        <f t="shared" si="1"/>
        <v>2022</v>
      </c>
      <c r="M59" s="23">
        <v>2625</v>
      </c>
      <c r="N59" s="23">
        <v>3500</v>
      </c>
      <c r="O59">
        <v>1</v>
      </c>
      <c r="P59" s="16">
        <f t="shared" si="2"/>
        <v>3500</v>
      </c>
      <c r="Q59" s="23"/>
      <c r="R59" s="23">
        <f t="shared" si="3"/>
        <v>3500</v>
      </c>
      <c r="S59" t="s">
        <v>23</v>
      </c>
      <c r="T59" t="s">
        <v>29</v>
      </c>
    </row>
    <row r="60" spans="1:20">
      <c r="A60">
        <v>1059</v>
      </c>
      <c r="B60">
        <v>2061</v>
      </c>
      <c r="C60" t="s">
        <v>96</v>
      </c>
      <c r="D60" t="s">
        <v>97</v>
      </c>
      <c r="E60" t="s">
        <v>94</v>
      </c>
      <c r="F60" t="s">
        <v>95</v>
      </c>
      <c r="G60" t="s">
        <v>26</v>
      </c>
      <c r="H60">
        <v>35</v>
      </c>
      <c r="I60">
        <v>3061</v>
      </c>
      <c r="J60" s="21">
        <v>44562</v>
      </c>
      <c r="K60" s="21" t="str">
        <f t="shared" si="0"/>
        <v>Jan</v>
      </c>
      <c r="L60">
        <f t="shared" si="1"/>
        <v>2022</v>
      </c>
      <c r="M60" s="23">
        <v>1460</v>
      </c>
      <c r="N60" s="23">
        <v>2000</v>
      </c>
      <c r="O60">
        <v>2</v>
      </c>
      <c r="P60" s="16">
        <f t="shared" si="2"/>
        <v>4000</v>
      </c>
      <c r="Q60" s="23"/>
      <c r="R60" s="23">
        <f t="shared" si="3"/>
        <v>4000</v>
      </c>
      <c r="S60" t="s">
        <v>23</v>
      </c>
      <c r="T60" t="s">
        <v>24</v>
      </c>
    </row>
    <row r="61" spans="1:20">
      <c r="A61">
        <v>1060</v>
      </c>
      <c r="B61">
        <v>2062</v>
      </c>
      <c r="C61" t="s">
        <v>98</v>
      </c>
      <c r="D61" t="s">
        <v>99</v>
      </c>
      <c r="E61" t="s">
        <v>94</v>
      </c>
      <c r="F61" t="s">
        <v>95</v>
      </c>
      <c r="G61" t="s">
        <v>31</v>
      </c>
      <c r="H61">
        <v>33</v>
      </c>
      <c r="I61">
        <v>3062</v>
      </c>
      <c r="J61" s="21">
        <v>44563</v>
      </c>
      <c r="K61" s="21" t="str">
        <f t="shared" si="0"/>
        <v>Jan</v>
      </c>
      <c r="L61">
        <f t="shared" si="1"/>
        <v>2022</v>
      </c>
      <c r="M61" s="23">
        <v>1825</v>
      </c>
      <c r="N61" s="23">
        <v>2500</v>
      </c>
      <c r="O61">
        <v>1</v>
      </c>
      <c r="P61" s="16">
        <f t="shared" si="2"/>
        <v>2500</v>
      </c>
      <c r="Q61" s="23"/>
      <c r="R61" s="23">
        <f t="shared" si="3"/>
        <v>2500</v>
      </c>
      <c r="S61" t="s">
        <v>28</v>
      </c>
      <c r="T61" t="s">
        <v>29</v>
      </c>
    </row>
    <row r="62" spans="1:20">
      <c r="A62">
        <v>1061</v>
      </c>
      <c r="B62">
        <v>2043</v>
      </c>
      <c r="C62" t="s">
        <v>80</v>
      </c>
      <c r="D62" t="s">
        <v>81</v>
      </c>
      <c r="E62" t="s">
        <v>32</v>
      </c>
      <c r="F62" t="s">
        <v>79</v>
      </c>
      <c r="G62" t="s">
        <v>26</v>
      </c>
      <c r="H62">
        <v>21</v>
      </c>
      <c r="I62">
        <v>3043</v>
      </c>
      <c r="J62" s="21">
        <v>44574</v>
      </c>
      <c r="K62" s="21" t="str">
        <f t="shared" si="0"/>
        <v>Jan</v>
      </c>
      <c r="L62">
        <f t="shared" si="1"/>
        <v>2022</v>
      </c>
      <c r="M62" s="23">
        <v>1292</v>
      </c>
      <c r="N62" s="23">
        <v>1900</v>
      </c>
      <c r="O62">
        <v>3</v>
      </c>
      <c r="P62" s="16">
        <f t="shared" si="2"/>
        <v>5700</v>
      </c>
      <c r="Q62" s="23"/>
      <c r="R62" s="23">
        <f t="shared" si="3"/>
        <v>5700</v>
      </c>
      <c r="S62" t="s">
        <v>23</v>
      </c>
      <c r="T62" t="s">
        <v>35</v>
      </c>
    </row>
    <row r="63" spans="1:20">
      <c r="A63">
        <v>1062</v>
      </c>
      <c r="B63">
        <v>2044</v>
      </c>
      <c r="C63" t="s">
        <v>82</v>
      </c>
      <c r="D63" t="s">
        <v>83</v>
      </c>
      <c r="E63" t="s">
        <v>32</v>
      </c>
      <c r="F63" t="s">
        <v>79</v>
      </c>
      <c r="G63" t="s">
        <v>31</v>
      </c>
      <c r="H63">
        <v>19</v>
      </c>
      <c r="I63">
        <v>3044</v>
      </c>
      <c r="J63" s="21">
        <v>44575</v>
      </c>
      <c r="K63" s="21" t="str">
        <f t="shared" si="0"/>
        <v>Jan</v>
      </c>
      <c r="L63">
        <f t="shared" si="1"/>
        <v>2022</v>
      </c>
      <c r="M63" s="23">
        <v>1496</v>
      </c>
      <c r="N63" s="23">
        <v>2200</v>
      </c>
      <c r="O63">
        <v>1</v>
      </c>
      <c r="P63" s="16">
        <f t="shared" si="2"/>
        <v>2200</v>
      </c>
      <c r="Q63" s="23"/>
      <c r="R63" s="23">
        <f t="shared" si="3"/>
        <v>2200</v>
      </c>
      <c r="S63" t="s">
        <v>23</v>
      </c>
      <c r="T63" t="s">
        <v>24</v>
      </c>
    </row>
    <row r="64" spans="1:20">
      <c r="A64">
        <v>1063</v>
      </c>
      <c r="B64">
        <v>2045</v>
      </c>
      <c r="C64" t="s">
        <v>85</v>
      </c>
      <c r="D64" t="s">
        <v>86</v>
      </c>
      <c r="E64" t="s">
        <v>40</v>
      </c>
      <c r="F64" t="s">
        <v>84</v>
      </c>
      <c r="G64" t="s">
        <v>26</v>
      </c>
      <c r="H64">
        <v>36</v>
      </c>
      <c r="I64">
        <v>3045</v>
      </c>
      <c r="J64" s="21">
        <v>44576</v>
      </c>
      <c r="K64" s="21" t="str">
        <f t="shared" si="0"/>
        <v>Jan</v>
      </c>
      <c r="L64">
        <f t="shared" si="1"/>
        <v>2022</v>
      </c>
      <c r="M64" s="23">
        <v>1340</v>
      </c>
      <c r="N64" s="23">
        <v>2000</v>
      </c>
      <c r="O64">
        <v>2</v>
      </c>
      <c r="P64" s="16">
        <f t="shared" si="2"/>
        <v>4000</v>
      </c>
      <c r="Q64" s="23"/>
      <c r="R64" s="23">
        <f t="shared" si="3"/>
        <v>4000</v>
      </c>
      <c r="S64" t="s">
        <v>28</v>
      </c>
      <c r="T64" t="s">
        <v>29</v>
      </c>
    </row>
    <row r="65" spans="1:20">
      <c r="A65">
        <v>1064</v>
      </c>
      <c r="B65">
        <v>2046</v>
      </c>
      <c r="C65" t="s">
        <v>87</v>
      </c>
      <c r="D65" t="s">
        <v>88</v>
      </c>
      <c r="E65" t="s">
        <v>40</v>
      </c>
      <c r="F65" t="s">
        <v>84</v>
      </c>
      <c r="G65" t="s">
        <v>31</v>
      </c>
      <c r="H65">
        <v>34</v>
      </c>
      <c r="I65">
        <v>3046</v>
      </c>
      <c r="J65" s="21">
        <v>44577</v>
      </c>
      <c r="K65" s="21" t="str">
        <f t="shared" si="0"/>
        <v>Jan</v>
      </c>
      <c r="L65">
        <f t="shared" si="1"/>
        <v>2022</v>
      </c>
      <c r="M65" s="23">
        <v>1541</v>
      </c>
      <c r="N65" s="23">
        <v>2300</v>
      </c>
      <c r="O65">
        <v>1</v>
      </c>
      <c r="P65" s="16">
        <f t="shared" si="2"/>
        <v>2300</v>
      </c>
      <c r="Q65" s="23"/>
      <c r="R65" s="23">
        <f t="shared" si="3"/>
        <v>2300</v>
      </c>
      <c r="S65" t="s">
        <v>23</v>
      </c>
      <c r="T65" t="s">
        <v>24</v>
      </c>
    </row>
    <row r="66" spans="1:20">
      <c r="A66">
        <v>1065</v>
      </c>
      <c r="B66">
        <v>2001</v>
      </c>
      <c r="C66" t="s">
        <v>22</v>
      </c>
      <c r="D66" t="s">
        <v>25</v>
      </c>
      <c r="E66" t="s">
        <v>20</v>
      </c>
      <c r="F66" t="s">
        <v>21</v>
      </c>
      <c r="G66" t="s">
        <v>26</v>
      </c>
      <c r="H66">
        <v>25</v>
      </c>
      <c r="I66">
        <v>3001</v>
      </c>
      <c r="J66" s="21">
        <v>44562</v>
      </c>
      <c r="K66" s="21" t="str">
        <f t="shared" ref="K66:K129" si="4">TEXT(J66,"mmm")</f>
        <v>Jan</v>
      </c>
      <c r="L66">
        <f t="shared" ref="L66:L129" si="5">YEAR(J66)</f>
        <v>2022</v>
      </c>
      <c r="M66" s="23">
        <v>840</v>
      </c>
      <c r="N66" s="23">
        <v>1200</v>
      </c>
      <c r="O66">
        <v>2</v>
      </c>
      <c r="P66" s="16">
        <f t="shared" ref="P66:P129" si="6">N66*O66</f>
        <v>2400</v>
      </c>
      <c r="Q66" s="23"/>
      <c r="R66" s="23">
        <f t="shared" ref="R66:R129" si="7">P66+Q66</f>
        <v>2400</v>
      </c>
      <c r="S66" t="s">
        <v>23</v>
      </c>
      <c r="T66" t="s">
        <v>24</v>
      </c>
    </row>
    <row r="67" spans="1:20">
      <c r="A67">
        <v>1066</v>
      </c>
      <c r="B67">
        <v>2002</v>
      </c>
      <c r="C67" t="s">
        <v>27</v>
      </c>
      <c r="D67" t="s">
        <v>30</v>
      </c>
      <c r="E67" t="s">
        <v>20</v>
      </c>
      <c r="F67" t="s">
        <v>21</v>
      </c>
      <c r="G67" t="s">
        <v>31</v>
      </c>
      <c r="H67">
        <v>22</v>
      </c>
      <c r="I67">
        <v>3002</v>
      </c>
      <c r="J67" s="21">
        <v>44563</v>
      </c>
      <c r="K67" s="21" t="str">
        <f t="shared" si="4"/>
        <v>Jan</v>
      </c>
      <c r="L67">
        <f t="shared" si="5"/>
        <v>2022</v>
      </c>
      <c r="M67" s="23">
        <v>1050</v>
      </c>
      <c r="N67" s="23">
        <v>1500</v>
      </c>
      <c r="O67">
        <v>1</v>
      </c>
      <c r="P67" s="16">
        <f t="shared" si="6"/>
        <v>1500</v>
      </c>
      <c r="Q67" s="23"/>
      <c r="R67" s="23">
        <f t="shared" si="7"/>
        <v>1500</v>
      </c>
      <c r="S67" t="s">
        <v>28</v>
      </c>
      <c r="T67" t="s">
        <v>29</v>
      </c>
    </row>
    <row r="68" spans="1:20">
      <c r="A68">
        <v>1067</v>
      </c>
      <c r="B68">
        <v>2003</v>
      </c>
      <c r="C68" t="s">
        <v>34</v>
      </c>
      <c r="D68" t="s">
        <v>36</v>
      </c>
      <c r="E68" t="s">
        <v>32</v>
      </c>
      <c r="F68" t="s">
        <v>33</v>
      </c>
      <c r="G68" t="s">
        <v>26</v>
      </c>
      <c r="H68">
        <v>18</v>
      </c>
      <c r="I68">
        <v>3003</v>
      </c>
      <c r="J68" s="21">
        <v>44564</v>
      </c>
      <c r="K68" s="21" t="str">
        <f t="shared" si="4"/>
        <v>Jan</v>
      </c>
      <c r="L68">
        <f t="shared" si="5"/>
        <v>2022</v>
      </c>
      <c r="M68" s="23">
        <v>1260</v>
      </c>
      <c r="N68" s="23">
        <v>1800</v>
      </c>
      <c r="O68">
        <v>3</v>
      </c>
      <c r="P68" s="16">
        <f t="shared" si="6"/>
        <v>5400</v>
      </c>
      <c r="Q68" s="23"/>
      <c r="R68" s="23">
        <f t="shared" si="7"/>
        <v>5400</v>
      </c>
      <c r="S68" t="s">
        <v>23</v>
      </c>
      <c r="T68" t="s">
        <v>35</v>
      </c>
    </row>
    <row r="69" spans="1:20">
      <c r="A69">
        <v>1068</v>
      </c>
      <c r="B69">
        <v>2004</v>
      </c>
      <c r="C69" t="s">
        <v>38</v>
      </c>
      <c r="D69" t="s">
        <v>39</v>
      </c>
      <c r="E69" t="s">
        <v>32</v>
      </c>
      <c r="F69" t="s">
        <v>33</v>
      </c>
      <c r="G69" t="s">
        <v>31</v>
      </c>
      <c r="H69">
        <v>16</v>
      </c>
      <c r="I69">
        <v>3004</v>
      </c>
      <c r="J69" s="21">
        <v>44565</v>
      </c>
      <c r="K69" s="21" t="str">
        <f t="shared" si="4"/>
        <v>Jan</v>
      </c>
      <c r="L69">
        <f t="shared" si="5"/>
        <v>2022</v>
      </c>
      <c r="M69" s="23">
        <v>1470</v>
      </c>
      <c r="N69" s="23">
        <v>2100</v>
      </c>
      <c r="O69">
        <v>1</v>
      </c>
      <c r="P69" s="16">
        <f t="shared" si="6"/>
        <v>2100</v>
      </c>
      <c r="Q69" s="23"/>
      <c r="R69" s="23">
        <f t="shared" si="7"/>
        <v>2100</v>
      </c>
      <c r="S69" t="s">
        <v>23</v>
      </c>
      <c r="T69" t="s">
        <v>24</v>
      </c>
    </row>
    <row r="70" spans="1:20">
      <c r="A70">
        <v>1069</v>
      </c>
      <c r="B70">
        <v>2005</v>
      </c>
      <c r="C70" t="s">
        <v>42</v>
      </c>
      <c r="D70" t="s">
        <v>43</v>
      </c>
      <c r="E70" t="s">
        <v>40</v>
      </c>
      <c r="F70" t="s">
        <v>41</v>
      </c>
      <c r="G70" t="s">
        <v>26</v>
      </c>
      <c r="H70">
        <v>27</v>
      </c>
      <c r="I70">
        <v>3005</v>
      </c>
      <c r="J70" s="21">
        <v>44566</v>
      </c>
      <c r="K70" s="21" t="str">
        <f t="shared" si="4"/>
        <v>Jan</v>
      </c>
      <c r="L70">
        <f t="shared" si="5"/>
        <v>2022</v>
      </c>
      <c r="M70" s="23">
        <v>897</v>
      </c>
      <c r="N70" s="23">
        <v>1300</v>
      </c>
      <c r="O70">
        <v>2</v>
      </c>
      <c r="P70" s="16">
        <f t="shared" si="6"/>
        <v>2600</v>
      </c>
      <c r="Q70" s="23"/>
      <c r="R70" s="23">
        <f t="shared" si="7"/>
        <v>2600</v>
      </c>
      <c r="S70" t="s">
        <v>28</v>
      </c>
      <c r="T70" t="s">
        <v>29</v>
      </c>
    </row>
    <row r="71" spans="1:20">
      <c r="A71">
        <v>1070</v>
      </c>
      <c r="B71">
        <v>2006</v>
      </c>
      <c r="C71" t="s">
        <v>44</v>
      </c>
      <c r="D71" t="s">
        <v>45</v>
      </c>
      <c r="E71" t="s">
        <v>40</v>
      </c>
      <c r="F71" t="s">
        <v>41</v>
      </c>
      <c r="G71" t="s">
        <v>31</v>
      </c>
      <c r="H71">
        <v>24</v>
      </c>
      <c r="I71">
        <v>3006</v>
      </c>
      <c r="J71" s="21">
        <v>44567</v>
      </c>
      <c r="K71" s="21" t="str">
        <f t="shared" si="4"/>
        <v>Jan</v>
      </c>
      <c r="L71">
        <f t="shared" si="5"/>
        <v>2022</v>
      </c>
      <c r="M71" s="23">
        <v>1104</v>
      </c>
      <c r="N71" s="23">
        <v>1600</v>
      </c>
      <c r="O71">
        <v>1</v>
      </c>
      <c r="P71" s="16">
        <f t="shared" si="6"/>
        <v>1600</v>
      </c>
      <c r="Q71" s="23"/>
      <c r="R71" s="23">
        <f t="shared" si="7"/>
        <v>1600</v>
      </c>
      <c r="S71" t="s">
        <v>23</v>
      </c>
      <c r="T71" t="s">
        <v>24</v>
      </c>
    </row>
    <row r="72" spans="1:20">
      <c r="A72">
        <v>1071</v>
      </c>
      <c r="B72">
        <v>2007</v>
      </c>
      <c r="C72" t="s">
        <v>47</v>
      </c>
      <c r="D72" t="s">
        <v>48</v>
      </c>
      <c r="E72" t="s">
        <v>20</v>
      </c>
      <c r="F72" t="s">
        <v>46</v>
      </c>
      <c r="G72" t="s">
        <v>26</v>
      </c>
      <c r="H72">
        <v>29</v>
      </c>
      <c r="I72">
        <v>3007</v>
      </c>
      <c r="J72" s="21">
        <v>44568</v>
      </c>
      <c r="K72" s="21" t="str">
        <f t="shared" si="4"/>
        <v>Jan</v>
      </c>
      <c r="L72">
        <f t="shared" si="5"/>
        <v>2022</v>
      </c>
      <c r="M72" s="23">
        <v>1496</v>
      </c>
      <c r="N72" s="23">
        <v>2200</v>
      </c>
      <c r="O72">
        <v>2</v>
      </c>
      <c r="P72" s="16">
        <f t="shared" si="6"/>
        <v>4400</v>
      </c>
      <c r="Q72" s="23"/>
      <c r="R72" s="23">
        <f t="shared" si="7"/>
        <v>4400</v>
      </c>
      <c r="S72" t="s">
        <v>28</v>
      </c>
      <c r="T72" t="s">
        <v>24</v>
      </c>
    </row>
    <row r="73" spans="1:20">
      <c r="A73">
        <v>1072</v>
      </c>
      <c r="B73">
        <v>2008</v>
      </c>
      <c r="C73" t="s">
        <v>49</v>
      </c>
      <c r="D73" t="s">
        <v>50</v>
      </c>
      <c r="E73" t="s">
        <v>20</v>
      </c>
      <c r="F73" t="s">
        <v>46</v>
      </c>
      <c r="G73" t="s">
        <v>31</v>
      </c>
      <c r="H73">
        <v>27</v>
      </c>
      <c r="I73">
        <v>3008</v>
      </c>
      <c r="J73" s="21">
        <v>44569</v>
      </c>
      <c r="K73" s="21" t="str">
        <f t="shared" si="4"/>
        <v>Jan</v>
      </c>
      <c r="L73">
        <f t="shared" si="5"/>
        <v>2022</v>
      </c>
      <c r="M73" s="23">
        <v>1700</v>
      </c>
      <c r="N73" s="23">
        <v>2500</v>
      </c>
      <c r="O73">
        <v>1</v>
      </c>
      <c r="P73" s="16">
        <f t="shared" si="6"/>
        <v>2500</v>
      </c>
      <c r="Q73" s="23"/>
      <c r="R73" s="23">
        <f t="shared" si="7"/>
        <v>2500</v>
      </c>
      <c r="S73" t="s">
        <v>23</v>
      </c>
      <c r="T73" t="s">
        <v>29</v>
      </c>
    </row>
    <row r="74" spans="1:20">
      <c r="A74">
        <v>1073</v>
      </c>
      <c r="B74">
        <v>2021</v>
      </c>
      <c r="C74" t="s">
        <v>52</v>
      </c>
      <c r="D74" t="s">
        <v>53</v>
      </c>
      <c r="E74" t="s">
        <v>20</v>
      </c>
      <c r="F74" t="s">
        <v>51</v>
      </c>
      <c r="G74" t="s">
        <v>26</v>
      </c>
      <c r="H74">
        <v>24</v>
      </c>
      <c r="I74">
        <v>3021</v>
      </c>
      <c r="J74" s="21">
        <v>44582</v>
      </c>
      <c r="K74" s="21" t="str">
        <f t="shared" si="4"/>
        <v>Jan</v>
      </c>
      <c r="L74">
        <f t="shared" si="5"/>
        <v>2022</v>
      </c>
      <c r="M74" s="23">
        <v>737</v>
      </c>
      <c r="N74" s="23">
        <v>1100</v>
      </c>
      <c r="O74">
        <v>2</v>
      </c>
      <c r="P74" s="16">
        <f t="shared" si="6"/>
        <v>2200</v>
      </c>
      <c r="Q74" s="23"/>
      <c r="R74" s="23">
        <f t="shared" si="7"/>
        <v>2200</v>
      </c>
      <c r="S74" t="s">
        <v>23</v>
      </c>
      <c r="T74" t="s">
        <v>24</v>
      </c>
    </row>
    <row r="75" spans="1:20">
      <c r="A75">
        <v>1074</v>
      </c>
      <c r="B75">
        <v>2022</v>
      </c>
      <c r="C75" t="s">
        <v>54</v>
      </c>
      <c r="D75" t="s">
        <v>55</v>
      </c>
      <c r="E75" t="s">
        <v>20</v>
      </c>
      <c r="F75" t="s">
        <v>51</v>
      </c>
      <c r="G75" t="s">
        <v>31</v>
      </c>
      <c r="H75">
        <v>21</v>
      </c>
      <c r="I75">
        <v>3022</v>
      </c>
      <c r="J75" s="21">
        <v>44583</v>
      </c>
      <c r="K75" s="21" t="str">
        <f t="shared" si="4"/>
        <v>Jan</v>
      </c>
      <c r="L75">
        <f t="shared" si="5"/>
        <v>2022</v>
      </c>
      <c r="M75" s="23">
        <v>938</v>
      </c>
      <c r="N75" s="23">
        <v>1400</v>
      </c>
      <c r="O75">
        <v>1</v>
      </c>
      <c r="P75" s="16">
        <f t="shared" si="6"/>
        <v>1400</v>
      </c>
      <c r="Q75" s="23"/>
      <c r="R75" s="23">
        <f t="shared" si="7"/>
        <v>1400</v>
      </c>
      <c r="S75" t="s">
        <v>28</v>
      </c>
      <c r="T75" t="s">
        <v>29</v>
      </c>
    </row>
    <row r="76" spans="1:20">
      <c r="A76">
        <v>1075</v>
      </c>
      <c r="B76">
        <v>2023</v>
      </c>
      <c r="C76" t="s">
        <v>58</v>
      </c>
      <c r="D76" t="s">
        <v>59</v>
      </c>
      <c r="E76" t="s">
        <v>32</v>
      </c>
      <c r="F76" t="s">
        <v>57</v>
      </c>
      <c r="G76" t="s">
        <v>26</v>
      </c>
      <c r="H76">
        <v>20</v>
      </c>
      <c r="I76">
        <v>3023</v>
      </c>
      <c r="J76" s="21">
        <v>44584</v>
      </c>
      <c r="K76" s="21" t="str">
        <f t="shared" si="4"/>
        <v>Jan</v>
      </c>
      <c r="L76">
        <f t="shared" si="5"/>
        <v>2022</v>
      </c>
      <c r="M76" s="23">
        <v>1190</v>
      </c>
      <c r="N76" s="23">
        <v>1700</v>
      </c>
      <c r="O76">
        <v>3</v>
      </c>
      <c r="P76" s="16">
        <f t="shared" si="6"/>
        <v>5100</v>
      </c>
      <c r="Q76" s="23"/>
      <c r="R76" s="23">
        <f t="shared" si="7"/>
        <v>5100</v>
      </c>
      <c r="S76" t="s">
        <v>23</v>
      </c>
      <c r="T76" t="s">
        <v>35</v>
      </c>
    </row>
    <row r="77" spans="1:20">
      <c r="A77">
        <v>1076</v>
      </c>
      <c r="B77">
        <v>2024</v>
      </c>
      <c r="C77" t="s">
        <v>61</v>
      </c>
      <c r="D77" t="s">
        <v>62</v>
      </c>
      <c r="E77" t="s">
        <v>32</v>
      </c>
      <c r="F77" t="s">
        <v>57</v>
      </c>
      <c r="G77" t="s">
        <v>31</v>
      </c>
      <c r="H77">
        <v>18</v>
      </c>
      <c r="I77">
        <v>3024</v>
      </c>
      <c r="J77" s="21">
        <v>44585</v>
      </c>
      <c r="K77" s="21" t="str">
        <f t="shared" si="4"/>
        <v>Jan</v>
      </c>
      <c r="L77">
        <f t="shared" si="5"/>
        <v>2022</v>
      </c>
      <c r="M77" s="23">
        <v>1400</v>
      </c>
      <c r="N77" s="23">
        <v>2000</v>
      </c>
      <c r="O77">
        <v>1</v>
      </c>
      <c r="P77" s="16">
        <f t="shared" si="6"/>
        <v>2000</v>
      </c>
      <c r="Q77" s="23"/>
      <c r="R77" s="23">
        <f t="shared" si="7"/>
        <v>2000</v>
      </c>
      <c r="S77" t="s">
        <v>23</v>
      </c>
      <c r="T77" t="s">
        <v>24</v>
      </c>
    </row>
    <row r="78" spans="1:20">
      <c r="A78">
        <v>1077</v>
      </c>
      <c r="B78">
        <v>2025</v>
      </c>
      <c r="C78" t="s">
        <v>65</v>
      </c>
      <c r="D78" t="s">
        <v>66</v>
      </c>
      <c r="E78" t="s">
        <v>40</v>
      </c>
      <c r="F78" t="s">
        <v>64</v>
      </c>
      <c r="G78" t="s">
        <v>26</v>
      </c>
      <c r="H78">
        <v>28</v>
      </c>
      <c r="I78">
        <v>3025</v>
      </c>
      <c r="J78" s="21">
        <v>44586</v>
      </c>
      <c r="K78" s="21" t="str">
        <f t="shared" si="4"/>
        <v>Jan</v>
      </c>
      <c r="L78">
        <f t="shared" si="5"/>
        <v>2022</v>
      </c>
      <c r="M78" s="23">
        <v>975</v>
      </c>
      <c r="N78" s="23">
        <v>1500</v>
      </c>
      <c r="O78">
        <v>2</v>
      </c>
      <c r="P78" s="16">
        <f t="shared" si="6"/>
        <v>3000</v>
      </c>
      <c r="Q78" s="23"/>
      <c r="R78" s="23">
        <f t="shared" si="7"/>
        <v>3000</v>
      </c>
      <c r="S78" t="s">
        <v>28</v>
      </c>
      <c r="T78" t="s">
        <v>29</v>
      </c>
    </row>
    <row r="79" spans="1:20">
      <c r="A79">
        <v>1078</v>
      </c>
      <c r="B79">
        <v>2026</v>
      </c>
      <c r="C79" t="s">
        <v>67</v>
      </c>
      <c r="D79" t="s">
        <v>68</v>
      </c>
      <c r="E79" t="s">
        <v>40</v>
      </c>
      <c r="F79" t="s">
        <v>64</v>
      </c>
      <c r="G79" t="s">
        <v>31</v>
      </c>
      <c r="H79">
        <v>26</v>
      </c>
      <c r="I79">
        <v>3026</v>
      </c>
      <c r="J79" s="21">
        <v>44587</v>
      </c>
      <c r="K79" s="21" t="str">
        <f t="shared" si="4"/>
        <v>Jan</v>
      </c>
      <c r="L79">
        <f t="shared" si="5"/>
        <v>2022</v>
      </c>
      <c r="M79" s="23">
        <v>1170</v>
      </c>
      <c r="N79" s="23">
        <v>1800</v>
      </c>
      <c r="O79">
        <v>1</v>
      </c>
      <c r="P79" s="16">
        <f t="shared" si="6"/>
        <v>1800</v>
      </c>
      <c r="Q79" s="23"/>
      <c r="R79" s="23">
        <f t="shared" si="7"/>
        <v>1800</v>
      </c>
      <c r="S79" t="s">
        <v>23</v>
      </c>
      <c r="T79" t="s">
        <v>24</v>
      </c>
    </row>
    <row r="80" spans="1:20">
      <c r="A80">
        <v>1079</v>
      </c>
      <c r="B80">
        <v>2027</v>
      </c>
      <c r="C80" t="s">
        <v>70</v>
      </c>
      <c r="D80" t="s">
        <v>71</v>
      </c>
      <c r="E80" t="s">
        <v>20</v>
      </c>
      <c r="F80" t="s">
        <v>69</v>
      </c>
      <c r="G80" t="s">
        <v>26</v>
      </c>
      <c r="H80">
        <v>30</v>
      </c>
      <c r="I80">
        <v>3027</v>
      </c>
      <c r="J80" s="21">
        <v>44588</v>
      </c>
      <c r="K80" s="21" t="str">
        <f t="shared" si="4"/>
        <v>Jan</v>
      </c>
      <c r="L80">
        <f t="shared" si="5"/>
        <v>2022</v>
      </c>
      <c r="M80" s="23">
        <v>1656</v>
      </c>
      <c r="N80" s="23">
        <v>2300</v>
      </c>
      <c r="O80">
        <v>2</v>
      </c>
      <c r="P80" s="16">
        <f t="shared" si="6"/>
        <v>4600</v>
      </c>
      <c r="Q80" s="23"/>
      <c r="R80" s="23">
        <f t="shared" si="7"/>
        <v>4600</v>
      </c>
      <c r="S80" t="s">
        <v>28</v>
      </c>
      <c r="T80" t="s">
        <v>24</v>
      </c>
    </row>
    <row r="81" spans="1:20">
      <c r="A81">
        <v>1080</v>
      </c>
      <c r="B81">
        <v>2028</v>
      </c>
      <c r="C81" t="s">
        <v>72</v>
      </c>
      <c r="D81" t="s">
        <v>73</v>
      </c>
      <c r="E81" t="s">
        <v>20</v>
      </c>
      <c r="F81" t="s">
        <v>69</v>
      </c>
      <c r="G81" t="s">
        <v>31</v>
      </c>
      <c r="H81">
        <v>28</v>
      </c>
      <c r="I81">
        <v>3028</v>
      </c>
      <c r="J81" s="21">
        <v>44589</v>
      </c>
      <c r="K81" s="21" t="str">
        <f t="shared" si="4"/>
        <v>Jan</v>
      </c>
      <c r="L81">
        <f t="shared" si="5"/>
        <v>2022</v>
      </c>
      <c r="M81" s="23">
        <v>1872</v>
      </c>
      <c r="N81" s="23">
        <v>2600</v>
      </c>
      <c r="O81">
        <v>1</v>
      </c>
      <c r="P81" s="16">
        <f t="shared" si="6"/>
        <v>2600</v>
      </c>
      <c r="Q81" s="23"/>
      <c r="R81" s="23">
        <f t="shared" si="7"/>
        <v>2600</v>
      </c>
      <c r="S81" t="s">
        <v>23</v>
      </c>
      <c r="T81" t="s">
        <v>29</v>
      </c>
    </row>
    <row r="82" spans="1:20">
      <c r="A82">
        <v>1081</v>
      </c>
      <c r="B82">
        <v>2004</v>
      </c>
      <c r="C82" t="s">
        <v>38</v>
      </c>
      <c r="D82" t="s">
        <v>39</v>
      </c>
      <c r="E82" t="s">
        <v>32</v>
      </c>
      <c r="F82" t="s">
        <v>33</v>
      </c>
      <c r="G82" t="s">
        <v>31</v>
      </c>
      <c r="H82">
        <v>16</v>
      </c>
      <c r="I82">
        <v>3004</v>
      </c>
      <c r="J82" s="21">
        <v>44961</v>
      </c>
      <c r="K82" s="21" t="str">
        <f t="shared" si="4"/>
        <v>Feb</v>
      </c>
      <c r="L82">
        <f t="shared" si="5"/>
        <v>2023</v>
      </c>
      <c r="M82" s="23">
        <v>1470</v>
      </c>
      <c r="N82" s="23">
        <v>2100</v>
      </c>
      <c r="O82">
        <v>1</v>
      </c>
      <c r="P82" s="16">
        <f t="shared" si="6"/>
        <v>2100</v>
      </c>
      <c r="Q82" s="23"/>
      <c r="R82" s="23">
        <f t="shared" si="7"/>
        <v>2100</v>
      </c>
      <c r="S82" t="s">
        <v>23</v>
      </c>
      <c r="T82" t="s">
        <v>24</v>
      </c>
    </row>
    <row r="83" spans="1:20">
      <c r="A83">
        <v>1082</v>
      </c>
      <c r="B83">
        <v>2005</v>
      </c>
      <c r="C83" t="s">
        <v>42</v>
      </c>
      <c r="D83" t="s">
        <v>43</v>
      </c>
      <c r="E83" t="s">
        <v>40</v>
      </c>
      <c r="F83" t="s">
        <v>41</v>
      </c>
      <c r="G83" t="s">
        <v>26</v>
      </c>
      <c r="H83">
        <v>27</v>
      </c>
      <c r="I83">
        <v>3005</v>
      </c>
      <c r="J83" s="21">
        <v>44962</v>
      </c>
      <c r="K83" s="21" t="str">
        <f t="shared" si="4"/>
        <v>Feb</v>
      </c>
      <c r="L83">
        <f t="shared" si="5"/>
        <v>2023</v>
      </c>
      <c r="M83" s="23">
        <v>897</v>
      </c>
      <c r="N83" s="23">
        <v>1300</v>
      </c>
      <c r="O83">
        <v>2</v>
      </c>
      <c r="P83" s="16">
        <f t="shared" si="6"/>
        <v>2600</v>
      </c>
      <c r="Q83" s="23"/>
      <c r="R83" s="23">
        <f t="shared" si="7"/>
        <v>2600</v>
      </c>
      <c r="S83" t="s">
        <v>28</v>
      </c>
      <c r="T83" t="s">
        <v>29</v>
      </c>
    </row>
    <row r="84" spans="1:20">
      <c r="A84">
        <v>1083</v>
      </c>
      <c r="B84">
        <v>2006</v>
      </c>
      <c r="C84" t="s">
        <v>44</v>
      </c>
      <c r="D84" t="s">
        <v>45</v>
      </c>
      <c r="E84" t="s">
        <v>40</v>
      </c>
      <c r="F84" t="s">
        <v>41</v>
      </c>
      <c r="G84" t="s">
        <v>31</v>
      </c>
      <c r="H84">
        <v>24</v>
      </c>
      <c r="I84">
        <v>3006</v>
      </c>
      <c r="J84" s="21">
        <v>44963</v>
      </c>
      <c r="K84" s="21" t="str">
        <f t="shared" si="4"/>
        <v>Feb</v>
      </c>
      <c r="L84">
        <f t="shared" si="5"/>
        <v>2023</v>
      </c>
      <c r="M84" s="23">
        <v>1104</v>
      </c>
      <c r="N84" s="23">
        <v>1600</v>
      </c>
      <c r="O84">
        <v>1</v>
      </c>
      <c r="P84" s="16">
        <f t="shared" si="6"/>
        <v>1600</v>
      </c>
      <c r="Q84" s="23"/>
      <c r="R84" s="23">
        <f t="shared" si="7"/>
        <v>1600</v>
      </c>
      <c r="S84" t="s">
        <v>23</v>
      </c>
      <c r="T84" t="s">
        <v>24</v>
      </c>
    </row>
    <row r="85" spans="1:20">
      <c r="A85">
        <v>1084</v>
      </c>
      <c r="B85">
        <v>2007</v>
      </c>
      <c r="C85" t="s">
        <v>47</v>
      </c>
      <c r="D85" t="s">
        <v>48</v>
      </c>
      <c r="E85" t="s">
        <v>20</v>
      </c>
      <c r="F85" t="s">
        <v>46</v>
      </c>
      <c r="G85" t="s">
        <v>26</v>
      </c>
      <c r="H85">
        <v>29</v>
      </c>
      <c r="I85">
        <v>3007</v>
      </c>
      <c r="J85" s="21">
        <v>44964</v>
      </c>
      <c r="K85" s="21" t="str">
        <f t="shared" si="4"/>
        <v>Feb</v>
      </c>
      <c r="L85">
        <f t="shared" si="5"/>
        <v>2023</v>
      </c>
      <c r="M85" s="23">
        <v>1496</v>
      </c>
      <c r="N85" s="23">
        <v>2200</v>
      </c>
      <c r="O85">
        <v>2</v>
      </c>
      <c r="P85" s="16">
        <f t="shared" si="6"/>
        <v>4400</v>
      </c>
      <c r="Q85" s="23"/>
      <c r="R85" s="23">
        <f t="shared" si="7"/>
        <v>4400</v>
      </c>
      <c r="S85" t="s">
        <v>28</v>
      </c>
      <c r="T85" t="s">
        <v>24</v>
      </c>
    </row>
    <row r="86" spans="1:20">
      <c r="A86">
        <v>1085</v>
      </c>
      <c r="B86">
        <v>2008</v>
      </c>
      <c r="C86" t="s">
        <v>49</v>
      </c>
      <c r="D86" t="s">
        <v>50</v>
      </c>
      <c r="E86" t="s">
        <v>20</v>
      </c>
      <c r="F86" t="s">
        <v>46</v>
      </c>
      <c r="G86" t="s">
        <v>31</v>
      </c>
      <c r="H86">
        <v>27</v>
      </c>
      <c r="I86">
        <v>3008</v>
      </c>
      <c r="J86" s="21">
        <v>44965</v>
      </c>
      <c r="K86" s="21" t="str">
        <f t="shared" si="4"/>
        <v>Feb</v>
      </c>
      <c r="L86">
        <f t="shared" si="5"/>
        <v>2023</v>
      </c>
      <c r="M86" s="23">
        <v>1700</v>
      </c>
      <c r="N86" s="23">
        <v>2500</v>
      </c>
      <c r="O86">
        <v>1</v>
      </c>
      <c r="P86" s="16">
        <f t="shared" si="6"/>
        <v>2500</v>
      </c>
      <c r="Q86" s="23"/>
      <c r="R86" s="23">
        <f t="shared" si="7"/>
        <v>2500</v>
      </c>
      <c r="S86" t="s">
        <v>23</v>
      </c>
      <c r="T86" t="s">
        <v>29</v>
      </c>
    </row>
    <row r="87" spans="1:20">
      <c r="A87">
        <v>1086</v>
      </c>
      <c r="B87">
        <v>2021</v>
      </c>
      <c r="C87" t="s">
        <v>52</v>
      </c>
      <c r="D87" t="s">
        <v>53</v>
      </c>
      <c r="E87" t="s">
        <v>20</v>
      </c>
      <c r="F87" t="s">
        <v>51</v>
      </c>
      <c r="G87" t="s">
        <v>26</v>
      </c>
      <c r="H87">
        <v>24</v>
      </c>
      <c r="I87">
        <v>3021</v>
      </c>
      <c r="J87" s="21">
        <v>44978</v>
      </c>
      <c r="K87" s="21" t="str">
        <f t="shared" si="4"/>
        <v>Feb</v>
      </c>
      <c r="L87">
        <f t="shared" si="5"/>
        <v>2023</v>
      </c>
      <c r="M87" s="23">
        <v>737</v>
      </c>
      <c r="N87" s="23">
        <v>1100</v>
      </c>
      <c r="O87">
        <v>2</v>
      </c>
      <c r="P87" s="16">
        <f t="shared" si="6"/>
        <v>2200</v>
      </c>
      <c r="Q87" s="23"/>
      <c r="R87" s="23">
        <f t="shared" si="7"/>
        <v>2200</v>
      </c>
      <c r="S87" t="s">
        <v>23</v>
      </c>
      <c r="T87" t="s">
        <v>24</v>
      </c>
    </row>
    <row r="88" spans="1:20">
      <c r="A88">
        <v>1087</v>
      </c>
      <c r="B88">
        <v>2022</v>
      </c>
      <c r="C88" t="s">
        <v>54</v>
      </c>
      <c r="D88" t="s">
        <v>55</v>
      </c>
      <c r="E88" t="s">
        <v>20</v>
      </c>
      <c r="F88" t="s">
        <v>51</v>
      </c>
      <c r="G88" t="s">
        <v>31</v>
      </c>
      <c r="H88">
        <v>21</v>
      </c>
      <c r="I88">
        <v>3022</v>
      </c>
      <c r="J88" s="21">
        <v>44979</v>
      </c>
      <c r="K88" s="21" t="str">
        <f t="shared" si="4"/>
        <v>Feb</v>
      </c>
      <c r="L88">
        <f t="shared" si="5"/>
        <v>2023</v>
      </c>
      <c r="M88" s="23">
        <v>938</v>
      </c>
      <c r="N88" s="23">
        <v>1400</v>
      </c>
      <c r="O88">
        <v>1</v>
      </c>
      <c r="P88" s="16">
        <f t="shared" si="6"/>
        <v>1400</v>
      </c>
      <c r="Q88" s="23"/>
      <c r="R88" s="23">
        <f t="shared" si="7"/>
        <v>1400</v>
      </c>
      <c r="S88" t="s">
        <v>28</v>
      </c>
      <c r="T88" t="s">
        <v>29</v>
      </c>
    </row>
    <row r="89" spans="1:20">
      <c r="A89">
        <v>1088</v>
      </c>
      <c r="B89">
        <v>2023</v>
      </c>
      <c r="C89" t="s">
        <v>58</v>
      </c>
      <c r="D89" t="s">
        <v>59</v>
      </c>
      <c r="E89" t="s">
        <v>32</v>
      </c>
      <c r="F89" t="s">
        <v>57</v>
      </c>
      <c r="G89" t="s">
        <v>26</v>
      </c>
      <c r="H89">
        <v>20</v>
      </c>
      <c r="I89">
        <v>3023</v>
      </c>
      <c r="J89" s="21">
        <v>44980</v>
      </c>
      <c r="K89" s="21" t="str">
        <f t="shared" si="4"/>
        <v>Feb</v>
      </c>
      <c r="L89">
        <f t="shared" si="5"/>
        <v>2023</v>
      </c>
      <c r="M89" s="23">
        <v>1190</v>
      </c>
      <c r="N89" s="23">
        <v>1700</v>
      </c>
      <c r="O89">
        <v>3</v>
      </c>
      <c r="P89" s="16">
        <f t="shared" si="6"/>
        <v>5100</v>
      </c>
      <c r="Q89" s="23"/>
      <c r="R89" s="23">
        <f t="shared" si="7"/>
        <v>5100</v>
      </c>
      <c r="S89" t="s">
        <v>23</v>
      </c>
      <c r="T89" t="s">
        <v>35</v>
      </c>
    </row>
    <row r="90" spans="1:20">
      <c r="A90">
        <v>1089</v>
      </c>
      <c r="B90">
        <v>2024</v>
      </c>
      <c r="C90" t="s">
        <v>61</v>
      </c>
      <c r="D90" t="s">
        <v>62</v>
      </c>
      <c r="E90" t="s">
        <v>32</v>
      </c>
      <c r="F90" t="s">
        <v>57</v>
      </c>
      <c r="G90" t="s">
        <v>31</v>
      </c>
      <c r="H90">
        <v>18</v>
      </c>
      <c r="I90">
        <v>3024</v>
      </c>
      <c r="J90" s="21">
        <v>44981</v>
      </c>
      <c r="K90" s="21" t="str">
        <f t="shared" si="4"/>
        <v>Feb</v>
      </c>
      <c r="L90">
        <f t="shared" si="5"/>
        <v>2023</v>
      </c>
      <c r="M90" s="23">
        <v>1400</v>
      </c>
      <c r="N90" s="23">
        <v>2000</v>
      </c>
      <c r="O90">
        <v>1</v>
      </c>
      <c r="P90" s="16">
        <f t="shared" si="6"/>
        <v>2000</v>
      </c>
      <c r="Q90" s="23"/>
      <c r="R90" s="23">
        <f t="shared" si="7"/>
        <v>2000</v>
      </c>
      <c r="S90" t="s">
        <v>23</v>
      </c>
      <c r="T90" t="s">
        <v>24</v>
      </c>
    </row>
    <row r="91" spans="1:20">
      <c r="A91">
        <v>1090</v>
      </c>
      <c r="B91">
        <v>2025</v>
      </c>
      <c r="C91" t="s">
        <v>65</v>
      </c>
      <c r="D91" t="s">
        <v>66</v>
      </c>
      <c r="E91" t="s">
        <v>40</v>
      </c>
      <c r="F91" t="s">
        <v>64</v>
      </c>
      <c r="G91" t="s">
        <v>26</v>
      </c>
      <c r="H91">
        <v>28</v>
      </c>
      <c r="I91">
        <v>3025</v>
      </c>
      <c r="J91" s="21">
        <v>44982</v>
      </c>
      <c r="K91" s="21" t="str">
        <f t="shared" si="4"/>
        <v>Feb</v>
      </c>
      <c r="L91">
        <f t="shared" si="5"/>
        <v>2023</v>
      </c>
      <c r="M91" s="23">
        <v>975</v>
      </c>
      <c r="N91" s="23">
        <v>1500</v>
      </c>
      <c r="O91">
        <v>2</v>
      </c>
      <c r="P91" s="16">
        <f t="shared" si="6"/>
        <v>3000</v>
      </c>
      <c r="Q91" s="23"/>
      <c r="R91" s="23">
        <f t="shared" si="7"/>
        <v>3000</v>
      </c>
      <c r="S91" t="s">
        <v>28</v>
      </c>
      <c r="T91" t="s">
        <v>29</v>
      </c>
    </row>
    <row r="92" spans="1:20">
      <c r="A92">
        <v>1091</v>
      </c>
      <c r="B92">
        <v>2026</v>
      </c>
      <c r="C92" t="s">
        <v>67</v>
      </c>
      <c r="D92" t="s">
        <v>68</v>
      </c>
      <c r="E92" t="s">
        <v>40</v>
      </c>
      <c r="F92" t="s">
        <v>64</v>
      </c>
      <c r="G92" t="s">
        <v>31</v>
      </c>
      <c r="H92">
        <v>26</v>
      </c>
      <c r="I92">
        <v>3026</v>
      </c>
      <c r="J92" s="21">
        <v>44983</v>
      </c>
      <c r="K92" s="21" t="str">
        <f t="shared" si="4"/>
        <v>Feb</v>
      </c>
      <c r="L92">
        <f t="shared" si="5"/>
        <v>2023</v>
      </c>
      <c r="M92" s="23">
        <v>1170</v>
      </c>
      <c r="N92" s="23">
        <v>1800</v>
      </c>
      <c r="O92">
        <v>1</v>
      </c>
      <c r="P92" s="16">
        <f t="shared" si="6"/>
        <v>1800</v>
      </c>
      <c r="Q92" s="23"/>
      <c r="R92" s="23">
        <f t="shared" si="7"/>
        <v>1800</v>
      </c>
      <c r="S92" t="s">
        <v>23</v>
      </c>
      <c r="T92" t="s">
        <v>24</v>
      </c>
    </row>
    <row r="93" spans="1:20">
      <c r="A93">
        <v>1092</v>
      </c>
      <c r="B93">
        <v>2027</v>
      </c>
      <c r="C93" t="s">
        <v>70</v>
      </c>
      <c r="D93" t="s">
        <v>71</v>
      </c>
      <c r="E93" t="s">
        <v>20</v>
      </c>
      <c r="F93" t="s">
        <v>69</v>
      </c>
      <c r="G93" t="s">
        <v>26</v>
      </c>
      <c r="H93">
        <v>30</v>
      </c>
      <c r="I93">
        <v>3027</v>
      </c>
      <c r="J93" s="21">
        <v>44984</v>
      </c>
      <c r="K93" s="21" t="str">
        <f t="shared" si="4"/>
        <v>Feb</v>
      </c>
      <c r="L93">
        <f t="shared" si="5"/>
        <v>2023</v>
      </c>
      <c r="M93" s="23">
        <v>1656</v>
      </c>
      <c r="N93" s="23">
        <v>2300</v>
      </c>
      <c r="O93">
        <v>2</v>
      </c>
      <c r="P93" s="16">
        <f t="shared" si="6"/>
        <v>4600</v>
      </c>
      <c r="Q93" s="23"/>
      <c r="R93" s="23">
        <f t="shared" si="7"/>
        <v>4600</v>
      </c>
      <c r="S93" t="s">
        <v>28</v>
      </c>
      <c r="T93" t="s">
        <v>24</v>
      </c>
    </row>
    <row r="94" spans="1:20">
      <c r="A94">
        <v>1093</v>
      </c>
      <c r="B94">
        <v>2028</v>
      </c>
      <c r="C94" t="s">
        <v>72</v>
      </c>
      <c r="D94" t="s">
        <v>73</v>
      </c>
      <c r="E94" t="s">
        <v>20</v>
      </c>
      <c r="F94" t="s">
        <v>69</v>
      </c>
      <c r="G94" t="s">
        <v>31</v>
      </c>
      <c r="H94">
        <v>28</v>
      </c>
      <c r="I94">
        <v>3028</v>
      </c>
      <c r="J94" s="21">
        <v>44985</v>
      </c>
      <c r="K94" s="21" t="str">
        <f t="shared" si="4"/>
        <v>Feb</v>
      </c>
      <c r="L94">
        <f t="shared" si="5"/>
        <v>2023</v>
      </c>
      <c r="M94" s="23">
        <v>1872</v>
      </c>
      <c r="N94" s="23">
        <v>2600</v>
      </c>
      <c r="O94">
        <v>1</v>
      </c>
      <c r="P94" s="16">
        <f t="shared" si="6"/>
        <v>2600</v>
      </c>
      <c r="Q94" s="23"/>
      <c r="R94" s="23">
        <f t="shared" si="7"/>
        <v>2600</v>
      </c>
      <c r="S94" t="s">
        <v>23</v>
      </c>
      <c r="T94" t="s">
        <v>29</v>
      </c>
    </row>
    <row r="95" spans="1:20">
      <c r="A95">
        <v>1094</v>
      </c>
      <c r="B95">
        <v>2004</v>
      </c>
      <c r="C95" t="s">
        <v>38</v>
      </c>
      <c r="D95" t="s">
        <v>39</v>
      </c>
      <c r="E95" t="s">
        <v>32</v>
      </c>
      <c r="F95" t="s">
        <v>33</v>
      </c>
      <c r="G95" t="s">
        <v>31</v>
      </c>
      <c r="H95">
        <v>16</v>
      </c>
      <c r="I95">
        <v>3004</v>
      </c>
      <c r="J95" s="21">
        <v>44930</v>
      </c>
      <c r="K95" s="21" t="str">
        <f t="shared" si="4"/>
        <v>Jan</v>
      </c>
      <c r="L95">
        <f t="shared" si="5"/>
        <v>2023</v>
      </c>
      <c r="M95" s="23">
        <v>1470</v>
      </c>
      <c r="N95" s="23">
        <v>2100</v>
      </c>
      <c r="O95">
        <v>1</v>
      </c>
      <c r="P95" s="16">
        <f t="shared" si="6"/>
        <v>2100</v>
      </c>
      <c r="Q95" s="23"/>
      <c r="R95" s="23">
        <f t="shared" si="7"/>
        <v>2100</v>
      </c>
      <c r="S95" t="s">
        <v>23</v>
      </c>
      <c r="T95" t="s">
        <v>24</v>
      </c>
    </row>
    <row r="96" spans="1:20">
      <c r="A96">
        <v>1095</v>
      </c>
      <c r="B96">
        <v>2005</v>
      </c>
      <c r="C96" t="s">
        <v>42</v>
      </c>
      <c r="D96" t="s">
        <v>43</v>
      </c>
      <c r="E96" t="s">
        <v>40</v>
      </c>
      <c r="F96" t="s">
        <v>41</v>
      </c>
      <c r="G96" t="s">
        <v>26</v>
      </c>
      <c r="H96">
        <v>27</v>
      </c>
      <c r="I96">
        <v>3005</v>
      </c>
      <c r="J96" s="21">
        <v>44931</v>
      </c>
      <c r="K96" s="21" t="str">
        <f t="shared" si="4"/>
        <v>Jan</v>
      </c>
      <c r="L96">
        <f t="shared" si="5"/>
        <v>2023</v>
      </c>
      <c r="M96" s="23">
        <v>897</v>
      </c>
      <c r="N96" s="23">
        <v>1300</v>
      </c>
      <c r="O96">
        <v>2</v>
      </c>
      <c r="P96" s="16">
        <f t="shared" si="6"/>
        <v>2600</v>
      </c>
      <c r="Q96" s="23"/>
      <c r="R96" s="23">
        <f t="shared" si="7"/>
        <v>2600</v>
      </c>
      <c r="S96" t="s">
        <v>28</v>
      </c>
      <c r="T96" t="s">
        <v>29</v>
      </c>
    </row>
    <row r="97" spans="1:20">
      <c r="A97">
        <v>1096</v>
      </c>
      <c r="B97">
        <v>2006</v>
      </c>
      <c r="C97" t="s">
        <v>44</v>
      </c>
      <c r="D97" t="s">
        <v>45</v>
      </c>
      <c r="E97" t="s">
        <v>40</v>
      </c>
      <c r="F97" t="s">
        <v>41</v>
      </c>
      <c r="G97" t="s">
        <v>31</v>
      </c>
      <c r="H97">
        <v>24</v>
      </c>
      <c r="I97">
        <v>3006</v>
      </c>
      <c r="J97" s="21">
        <v>44932</v>
      </c>
      <c r="K97" s="21" t="str">
        <f t="shared" si="4"/>
        <v>Jan</v>
      </c>
      <c r="L97">
        <f t="shared" si="5"/>
        <v>2023</v>
      </c>
      <c r="M97" s="23">
        <v>1104</v>
      </c>
      <c r="N97" s="23">
        <v>1600</v>
      </c>
      <c r="O97">
        <v>1</v>
      </c>
      <c r="P97" s="16">
        <f t="shared" si="6"/>
        <v>1600</v>
      </c>
      <c r="Q97" s="23"/>
      <c r="R97" s="23">
        <f t="shared" si="7"/>
        <v>1600</v>
      </c>
      <c r="S97" t="s">
        <v>23</v>
      </c>
      <c r="T97" t="s">
        <v>24</v>
      </c>
    </row>
    <row r="98" spans="1:20">
      <c r="A98">
        <v>1097</v>
      </c>
      <c r="B98">
        <v>2007</v>
      </c>
      <c r="C98" t="s">
        <v>47</v>
      </c>
      <c r="D98" t="s">
        <v>48</v>
      </c>
      <c r="E98" t="s">
        <v>20</v>
      </c>
      <c r="F98" t="s">
        <v>46</v>
      </c>
      <c r="G98" t="s">
        <v>26</v>
      </c>
      <c r="H98">
        <v>29</v>
      </c>
      <c r="I98">
        <v>3007</v>
      </c>
      <c r="J98" s="21">
        <v>44933</v>
      </c>
      <c r="K98" s="21" t="str">
        <f t="shared" si="4"/>
        <v>Jan</v>
      </c>
      <c r="L98">
        <f t="shared" si="5"/>
        <v>2023</v>
      </c>
      <c r="M98" s="23">
        <v>1496</v>
      </c>
      <c r="N98" s="23">
        <v>2200</v>
      </c>
      <c r="O98">
        <v>2</v>
      </c>
      <c r="P98" s="16">
        <f t="shared" si="6"/>
        <v>4400</v>
      </c>
      <c r="Q98" s="23"/>
      <c r="R98" s="23">
        <f t="shared" si="7"/>
        <v>4400</v>
      </c>
      <c r="S98" t="s">
        <v>28</v>
      </c>
      <c r="T98" t="s">
        <v>24</v>
      </c>
    </row>
    <row r="99" spans="1:20">
      <c r="A99">
        <v>1098</v>
      </c>
      <c r="B99">
        <v>2008</v>
      </c>
      <c r="C99" t="s">
        <v>49</v>
      </c>
      <c r="D99" t="s">
        <v>50</v>
      </c>
      <c r="E99" t="s">
        <v>20</v>
      </c>
      <c r="F99" t="s">
        <v>46</v>
      </c>
      <c r="G99" t="s">
        <v>31</v>
      </c>
      <c r="H99">
        <v>27</v>
      </c>
      <c r="I99">
        <v>3008</v>
      </c>
      <c r="J99" s="21">
        <v>44934</v>
      </c>
      <c r="K99" s="21" t="str">
        <f t="shared" si="4"/>
        <v>Jan</v>
      </c>
      <c r="L99">
        <f t="shared" si="5"/>
        <v>2023</v>
      </c>
      <c r="M99" s="23">
        <v>1700</v>
      </c>
      <c r="N99" s="23">
        <v>2500</v>
      </c>
      <c r="O99">
        <v>1</v>
      </c>
      <c r="P99" s="16">
        <f t="shared" si="6"/>
        <v>2500</v>
      </c>
      <c r="Q99" s="23"/>
      <c r="R99" s="23">
        <f t="shared" si="7"/>
        <v>2500</v>
      </c>
      <c r="S99" t="s">
        <v>23</v>
      </c>
      <c r="T99" t="s">
        <v>29</v>
      </c>
    </row>
    <row r="100" spans="1:20">
      <c r="A100">
        <v>1099</v>
      </c>
      <c r="B100">
        <v>2021</v>
      </c>
      <c r="C100" t="s">
        <v>52</v>
      </c>
      <c r="D100" t="s">
        <v>53</v>
      </c>
      <c r="E100" t="s">
        <v>20</v>
      </c>
      <c r="F100" t="s">
        <v>51</v>
      </c>
      <c r="G100" t="s">
        <v>26</v>
      </c>
      <c r="H100">
        <v>24</v>
      </c>
      <c r="I100">
        <v>3021</v>
      </c>
      <c r="J100" s="21">
        <v>44947</v>
      </c>
      <c r="K100" s="21" t="str">
        <f t="shared" si="4"/>
        <v>Jan</v>
      </c>
      <c r="L100">
        <f t="shared" si="5"/>
        <v>2023</v>
      </c>
      <c r="M100" s="23">
        <v>737</v>
      </c>
      <c r="N100" s="23">
        <v>1100</v>
      </c>
      <c r="O100">
        <v>2</v>
      </c>
      <c r="P100" s="16">
        <f t="shared" si="6"/>
        <v>2200</v>
      </c>
      <c r="Q100" s="23"/>
      <c r="R100" s="23">
        <f t="shared" si="7"/>
        <v>2200</v>
      </c>
      <c r="S100" t="s">
        <v>23</v>
      </c>
      <c r="T100" t="s">
        <v>24</v>
      </c>
    </row>
    <row r="101" spans="1:20">
      <c r="A101">
        <v>1100</v>
      </c>
      <c r="B101">
        <v>2022</v>
      </c>
      <c r="C101" t="s">
        <v>54</v>
      </c>
      <c r="D101" t="s">
        <v>55</v>
      </c>
      <c r="E101" t="s">
        <v>20</v>
      </c>
      <c r="F101" t="s">
        <v>51</v>
      </c>
      <c r="G101" t="s">
        <v>31</v>
      </c>
      <c r="H101">
        <v>21</v>
      </c>
      <c r="I101">
        <v>3022</v>
      </c>
      <c r="J101" s="21">
        <v>44948</v>
      </c>
      <c r="K101" s="21" t="str">
        <f t="shared" si="4"/>
        <v>Jan</v>
      </c>
      <c r="L101">
        <f t="shared" si="5"/>
        <v>2023</v>
      </c>
      <c r="M101" s="23">
        <v>938</v>
      </c>
      <c r="N101" s="23">
        <v>1400</v>
      </c>
      <c r="O101">
        <v>1</v>
      </c>
      <c r="P101" s="16">
        <f t="shared" si="6"/>
        <v>1400</v>
      </c>
      <c r="Q101" s="23"/>
      <c r="R101" s="23">
        <f t="shared" si="7"/>
        <v>1400</v>
      </c>
      <c r="S101" t="s">
        <v>28</v>
      </c>
      <c r="T101" t="s">
        <v>29</v>
      </c>
    </row>
    <row r="102" spans="1:20">
      <c r="A102">
        <v>1101</v>
      </c>
      <c r="B102">
        <v>2023</v>
      </c>
      <c r="C102" t="s">
        <v>58</v>
      </c>
      <c r="D102" t="s">
        <v>59</v>
      </c>
      <c r="E102" t="s">
        <v>32</v>
      </c>
      <c r="F102" t="s">
        <v>57</v>
      </c>
      <c r="G102" t="s">
        <v>26</v>
      </c>
      <c r="H102">
        <v>20</v>
      </c>
      <c r="I102">
        <v>3023</v>
      </c>
      <c r="J102" s="21">
        <v>44949</v>
      </c>
      <c r="K102" s="21" t="str">
        <f t="shared" si="4"/>
        <v>Jan</v>
      </c>
      <c r="L102">
        <f t="shared" si="5"/>
        <v>2023</v>
      </c>
      <c r="M102" s="23">
        <v>1190</v>
      </c>
      <c r="N102" s="23">
        <v>1700</v>
      </c>
      <c r="O102">
        <v>3</v>
      </c>
      <c r="P102" s="16">
        <f t="shared" si="6"/>
        <v>5100</v>
      </c>
      <c r="Q102" s="23"/>
      <c r="R102" s="23">
        <f t="shared" si="7"/>
        <v>5100</v>
      </c>
      <c r="S102" t="s">
        <v>23</v>
      </c>
      <c r="T102" t="s">
        <v>35</v>
      </c>
    </row>
    <row r="103" spans="1:20">
      <c r="A103">
        <v>1102</v>
      </c>
      <c r="B103">
        <v>2024</v>
      </c>
      <c r="C103" t="s">
        <v>61</v>
      </c>
      <c r="D103" t="s">
        <v>62</v>
      </c>
      <c r="E103" t="s">
        <v>32</v>
      </c>
      <c r="F103" t="s">
        <v>57</v>
      </c>
      <c r="G103" t="s">
        <v>31</v>
      </c>
      <c r="H103">
        <v>18</v>
      </c>
      <c r="I103">
        <v>3024</v>
      </c>
      <c r="J103" s="21">
        <v>44950</v>
      </c>
      <c r="K103" s="21" t="str">
        <f t="shared" si="4"/>
        <v>Jan</v>
      </c>
      <c r="L103">
        <f t="shared" si="5"/>
        <v>2023</v>
      </c>
      <c r="M103" s="23">
        <v>1400</v>
      </c>
      <c r="N103" s="23">
        <v>2000</v>
      </c>
      <c r="O103">
        <v>1</v>
      </c>
      <c r="P103" s="16">
        <f t="shared" si="6"/>
        <v>2000</v>
      </c>
      <c r="Q103" s="23"/>
      <c r="R103" s="23">
        <f t="shared" si="7"/>
        <v>2000</v>
      </c>
      <c r="S103" t="s">
        <v>23</v>
      </c>
      <c r="T103" t="s">
        <v>24</v>
      </c>
    </row>
    <row r="104" spans="1:20">
      <c r="A104">
        <v>1103</v>
      </c>
      <c r="B104">
        <v>2025</v>
      </c>
      <c r="C104" t="s">
        <v>65</v>
      </c>
      <c r="D104" t="s">
        <v>66</v>
      </c>
      <c r="E104" t="s">
        <v>40</v>
      </c>
      <c r="F104" t="s">
        <v>64</v>
      </c>
      <c r="G104" t="s">
        <v>26</v>
      </c>
      <c r="H104">
        <v>28</v>
      </c>
      <c r="I104">
        <v>3025</v>
      </c>
      <c r="J104" s="21">
        <v>44951</v>
      </c>
      <c r="K104" s="21" t="str">
        <f t="shared" si="4"/>
        <v>Jan</v>
      </c>
      <c r="L104">
        <f t="shared" si="5"/>
        <v>2023</v>
      </c>
      <c r="M104" s="23">
        <v>975</v>
      </c>
      <c r="N104" s="23">
        <v>1500</v>
      </c>
      <c r="O104">
        <v>2</v>
      </c>
      <c r="P104" s="16">
        <f t="shared" si="6"/>
        <v>3000</v>
      </c>
      <c r="Q104" s="23"/>
      <c r="R104" s="23">
        <f t="shared" si="7"/>
        <v>3000</v>
      </c>
      <c r="S104" t="s">
        <v>28</v>
      </c>
      <c r="T104" t="s">
        <v>29</v>
      </c>
    </row>
    <row r="105" spans="1:20">
      <c r="A105">
        <v>1104</v>
      </c>
      <c r="B105">
        <v>2026</v>
      </c>
      <c r="C105" t="s">
        <v>67</v>
      </c>
      <c r="D105" t="s">
        <v>68</v>
      </c>
      <c r="E105" t="s">
        <v>40</v>
      </c>
      <c r="F105" t="s">
        <v>64</v>
      </c>
      <c r="G105" t="s">
        <v>31</v>
      </c>
      <c r="H105">
        <v>26</v>
      </c>
      <c r="I105">
        <v>3026</v>
      </c>
      <c r="J105" s="21">
        <v>44952</v>
      </c>
      <c r="K105" s="21" t="str">
        <f t="shared" si="4"/>
        <v>Jan</v>
      </c>
      <c r="L105">
        <f t="shared" si="5"/>
        <v>2023</v>
      </c>
      <c r="M105" s="23">
        <v>1170</v>
      </c>
      <c r="N105" s="23">
        <v>1800</v>
      </c>
      <c r="O105">
        <v>1</v>
      </c>
      <c r="P105" s="16">
        <f t="shared" si="6"/>
        <v>1800</v>
      </c>
      <c r="Q105" s="23"/>
      <c r="R105" s="23">
        <f t="shared" si="7"/>
        <v>1800</v>
      </c>
      <c r="S105" t="s">
        <v>23</v>
      </c>
      <c r="T105" t="s">
        <v>24</v>
      </c>
    </row>
    <row r="106" spans="1:20">
      <c r="A106">
        <v>1105</v>
      </c>
      <c r="B106">
        <v>2027</v>
      </c>
      <c r="C106" t="s">
        <v>70</v>
      </c>
      <c r="D106" t="s">
        <v>71</v>
      </c>
      <c r="E106" t="s">
        <v>20</v>
      </c>
      <c r="F106" t="s">
        <v>69</v>
      </c>
      <c r="G106" t="s">
        <v>26</v>
      </c>
      <c r="H106">
        <v>30</v>
      </c>
      <c r="I106">
        <v>3027</v>
      </c>
      <c r="J106" s="21">
        <v>44953</v>
      </c>
      <c r="K106" s="21" t="str">
        <f t="shared" si="4"/>
        <v>Jan</v>
      </c>
      <c r="L106">
        <f t="shared" si="5"/>
        <v>2023</v>
      </c>
      <c r="M106" s="23">
        <v>1656</v>
      </c>
      <c r="N106" s="23">
        <v>2300</v>
      </c>
      <c r="O106">
        <v>2</v>
      </c>
      <c r="P106" s="16">
        <f t="shared" si="6"/>
        <v>4600</v>
      </c>
      <c r="Q106" s="23"/>
      <c r="R106" s="23">
        <f t="shared" si="7"/>
        <v>4600</v>
      </c>
      <c r="S106" t="s">
        <v>28</v>
      </c>
      <c r="T106" t="s">
        <v>24</v>
      </c>
    </row>
    <row r="107" spans="1:20">
      <c r="A107">
        <v>1106</v>
      </c>
      <c r="B107">
        <v>2028</v>
      </c>
      <c r="C107" t="s">
        <v>72</v>
      </c>
      <c r="D107" t="s">
        <v>73</v>
      </c>
      <c r="E107" t="s">
        <v>20</v>
      </c>
      <c r="F107" t="s">
        <v>69</v>
      </c>
      <c r="G107" t="s">
        <v>31</v>
      </c>
      <c r="H107">
        <v>28</v>
      </c>
      <c r="I107">
        <v>3028</v>
      </c>
      <c r="J107" s="21">
        <v>44954</v>
      </c>
      <c r="K107" s="21" t="str">
        <f t="shared" si="4"/>
        <v>Jan</v>
      </c>
      <c r="L107">
        <f t="shared" si="5"/>
        <v>2023</v>
      </c>
      <c r="M107" s="23">
        <v>1872</v>
      </c>
      <c r="N107" s="23">
        <v>2600</v>
      </c>
      <c r="O107">
        <v>1</v>
      </c>
      <c r="P107" s="16">
        <f t="shared" si="6"/>
        <v>2600</v>
      </c>
      <c r="Q107" s="23"/>
      <c r="R107" s="23">
        <f t="shared" si="7"/>
        <v>2600</v>
      </c>
      <c r="S107" t="s">
        <v>23</v>
      </c>
      <c r="T107" t="s">
        <v>29</v>
      </c>
    </row>
    <row r="108" spans="1:20">
      <c r="A108">
        <v>1107</v>
      </c>
      <c r="B108">
        <v>2001</v>
      </c>
      <c r="C108" t="s">
        <v>22</v>
      </c>
      <c r="D108" t="s">
        <v>25</v>
      </c>
      <c r="E108" t="s">
        <v>20</v>
      </c>
      <c r="F108" t="s">
        <v>21</v>
      </c>
      <c r="G108" t="s">
        <v>26</v>
      </c>
      <c r="H108">
        <v>25</v>
      </c>
      <c r="I108">
        <v>3001</v>
      </c>
      <c r="J108" s="21">
        <v>44927</v>
      </c>
      <c r="K108" s="21" t="str">
        <f t="shared" si="4"/>
        <v>Jan</v>
      </c>
      <c r="L108">
        <f t="shared" si="5"/>
        <v>2023</v>
      </c>
      <c r="M108" s="23">
        <v>840</v>
      </c>
      <c r="N108" s="23">
        <v>1200</v>
      </c>
      <c r="O108">
        <v>2</v>
      </c>
      <c r="P108" s="16">
        <f t="shared" si="6"/>
        <v>2400</v>
      </c>
      <c r="Q108" s="23"/>
      <c r="R108" s="23">
        <f t="shared" si="7"/>
        <v>2400</v>
      </c>
      <c r="S108" t="s">
        <v>23</v>
      </c>
      <c r="T108" t="s">
        <v>24</v>
      </c>
    </row>
    <row r="109" spans="1:20">
      <c r="A109">
        <v>1108</v>
      </c>
      <c r="B109">
        <v>2002</v>
      </c>
      <c r="C109" t="s">
        <v>27</v>
      </c>
      <c r="D109" t="s">
        <v>30</v>
      </c>
      <c r="E109" t="s">
        <v>20</v>
      </c>
      <c r="F109" t="s">
        <v>21</v>
      </c>
      <c r="G109" t="s">
        <v>31</v>
      </c>
      <c r="H109">
        <v>22</v>
      </c>
      <c r="I109">
        <v>3002</v>
      </c>
      <c r="J109" s="21">
        <v>44928</v>
      </c>
      <c r="K109" s="21" t="str">
        <f t="shared" si="4"/>
        <v>Jan</v>
      </c>
      <c r="L109">
        <f t="shared" si="5"/>
        <v>2023</v>
      </c>
      <c r="M109" s="23">
        <v>1050</v>
      </c>
      <c r="N109" s="23">
        <v>1500</v>
      </c>
      <c r="O109">
        <v>1</v>
      </c>
      <c r="P109" s="16">
        <f t="shared" si="6"/>
        <v>1500</v>
      </c>
      <c r="Q109" s="23"/>
      <c r="R109" s="23">
        <f t="shared" si="7"/>
        <v>1500</v>
      </c>
      <c r="S109" t="s">
        <v>28</v>
      </c>
      <c r="T109" t="s">
        <v>29</v>
      </c>
    </row>
    <row r="110" spans="1:20">
      <c r="A110">
        <v>1109</v>
      </c>
      <c r="B110">
        <v>2003</v>
      </c>
      <c r="C110" t="s">
        <v>34</v>
      </c>
      <c r="D110" t="s">
        <v>36</v>
      </c>
      <c r="E110" t="s">
        <v>32</v>
      </c>
      <c r="F110" t="s">
        <v>33</v>
      </c>
      <c r="G110" t="s">
        <v>26</v>
      </c>
      <c r="H110">
        <v>18</v>
      </c>
      <c r="I110">
        <v>3003</v>
      </c>
      <c r="J110" s="21">
        <v>44929</v>
      </c>
      <c r="K110" s="21" t="str">
        <f t="shared" si="4"/>
        <v>Jan</v>
      </c>
      <c r="L110">
        <f t="shared" si="5"/>
        <v>2023</v>
      </c>
      <c r="M110" s="23">
        <v>1260</v>
      </c>
      <c r="N110" s="23">
        <v>1800</v>
      </c>
      <c r="O110">
        <v>3</v>
      </c>
      <c r="P110" s="16">
        <f t="shared" si="6"/>
        <v>5400</v>
      </c>
      <c r="Q110" s="23"/>
      <c r="R110" s="23">
        <f t="shared" si="7"/>
        <v>5400</v>
      </c>
      <c r="S110" t="s">
        <v>23</v>
      </c>
      <c r="T110" t="s">
        <v>35</v>
      </c>
    </row>
    <row r="111" spans="1:20">
      <c r="A111">
        <v>1110</v>
      </c>
      <c r="B111">
        <v>2004</v>
      </c>
      <c r="C111" t="s">
        <v>38</v>
      </c>
      <c r="D111" t="s">
        <v>39</v>
      </c>
      <c r="E111" t="s">
        <v>32</v>
      </c>
      <c r="F111" t="s">
        <v>33</v>
      </c>
      <c r="G111" t="s">
        <v>31</v>
      </c>
      <c r="H111">
        <v>16</v>
      </c>
      <c r="I111">
        <v>3004</v>
      </c>
      <c r="J111" s="21">
        <v>44930</v>
      </c>
      <c r="K111" s="21" t="str">
        <f t="shared" si="4"/>
        <v>Jan</v>
      </c>
      <c r="L111">
        <f t="shared" si="5"/>
        <v>2023</v>
      </c>
      <c r="M111" s="23">
        <v>1470</v>
      </c>
      <c r="N111" s="23">
        <v>2100</v>
      </c>
      <c r="O111">
        <v>1</v>
      </c>
      <c r="P111" s="16">
        <f t="shared" si="6"/>
        <v>2100</v>
      </c>
      <c r="Q111" s="23"/>
      <c r="R111" s="23">
        <f t="shared" si="7"/>
        <v>2100</v>
      </c>
      <c r="S111" t="s">
        <v>23</v>
      </c>
      <c r="T111" t="s">
        <v>24</v>
      </c>
    </row>
    <row r="112" spans="1:20">
      <c r="A112">
        <v>1111</v>
      </c>
      <c r="B112">
        <v>2005</v>
      </c>
      <c r="C112" t="s">
        <v>42</v>
      </c>
      <c r="D112" t="s">
        <v>43</v>
      </c>
      <c r="E112" t="s">
        <v>40</v>
      </c>
      <c r="F112" t="s">
        <v>41</v>
      </c>
      <c r="G112" t="s">
        <v>26</v>
      </c>
      <c r="H112">
        <v>27</v>
      </c>
      <c r="I112">
        <v>3005</v>
      </c>
      <c r="J112" s="21">
        <v>44931</v>
      </c>
      <c r="K112" s="21" t="str">
        <f t="shared" si="4"/>
        <v>Jan</v>
      </c>
      <c r="L112">
        <f t="shared" si="5"/>
        <v>2023</v>
      </c>
      <c r="M112" s="23">
        <v>897</v>
      </c>
      <c r="N112" s="23">
        <v>1300</v>
      </c>
      <c r="O112">
        <v>2</v>
      </c>
      <c r="P112" s="16">
        <f t="shared" si="6"/>
        <v>2600</v>
      </c>
      <c r="Q112" s="23"/>
      <c r="R112" s="23">
        <f t="shared" si="7"/>
        <v>2600</v>
      </c>
      <c r="S112" t="s">
        <v>28</v>
      </c>
      <c r="T112" t="s">
        <v>29</v>
      </c>
    </row>
    <row r="113" spans="1:20">
      <c r="A113">
        <v>1112</v>
      </c>
      <c r="B113">
        <v>2006</v>
      </c>
      <c r="C113" t="s">
        <v>44</v>
      </c>
      <c r="D113" t="s">
        <v>45</v>
      </c>
      <c r="E113" t="s">
        <v>40</v>
      </c>
      <c r="F113" t="s">
        <v>41</v>
      </c>
      <c r="G113" t="s">
        <v>31</v>
      </c>
      <c r="H113">
        <v>24</v>
      </c>
      <c r="I113">
        <v>3006</v>
      </c>
      <c r="J113" s="21">
        <v>44932</v>
      </c>
      <c r="K113" s="21" t="str">
        <f t="shared" si="4"/>
        <v>Jan</v>
      </c>
      <c r="L113">
        <f t="shared" si="5"/>
        <v>2023</v>
      </c>
      <c r="M113" s="23">
        <v>1104</v>
      </c>
      <c r="N113" s="23">
        <v>1600</v>
      </c>
      <c r="O113">
        <v>1</v>
      </c>
      <c r="P113" s="16">
        <f t="shared" si="6"/>
        <v>1600</v>
      </c>
      <c r="Q113" s="23"/>
      <c r="R113" s="23">
        <f t="shared" si="7"/>
        <v>1600</v>
      </c>
      <c r="S113" t="s">
        <v>23</v>
      </c>
      <c r="T113" t="s">
        <v>24</v>
      </c>
    </row>
    <row r="114" spans="1:20">
      <c r="A114">
        <v>1113</v>
      </c>
      <c r="B114">
        <v>2007</v>
      </c>
      <c r="C114" t="s">
        <v>47</v>
      </c>
      <c r="D114" t="s">
        <v>48</v>
      </c>
      <c r="E114" t="s">
        <v>20</v>
      </c>
      <c r="F114" t="s">
        <v>46</v>
      </c>
      <c r="G114" t="s">
        <v>26</v>
      </c>
      <c r="H114">
        <v>29</v>
      </c>
      <c r="I114">
        <v>3007</v>
      </c>
      <c r="J114" s="21">
        <v>44933</v>
      </c>
      <c r="K114" s="21" t="str">
        <f t="shared" si="4"/>
        <v>Jan</v>
      </c>
      <c r="L114">
        <f t="shared" si="5"/>
        <v>2023</v>
      </c>
      <c r="M114" s="23">
        <v>1496</v>
      </c>
      <c r="N114" s="23">
        <v>2200</v>
      </c>
      <c r="O114">
        <v>2</v>
      </c>
      <c r="P114" s="16">
        <f t="shared" si="6"/>
        <v>4400</v>
      </c>
      <c r="Q114" s="23"/>
      <c r="R114" s="23">
        <f t="shared" si="7"/>
        <v>4400</v>
      </c>
      <c r="S114" t="s">
        <v>28</v>
      </c>
      <c r="T114" t="s">
        <v>24</v>
      </c>
    </row>
    <row r="115" spans="1:20">
      <c r="A115">
        <v>1114</v>
      </c>
      <c r="B115">
        <v>2008</v>
      </c>
      <c r="C115" t="s">
        <v>49</v>
      </c>
      <c r="D115" t="s">
        <v>50</v>
      </c>
      <c r="E115" t="s">
        <v>20</v>
      </c>
      <c r="F115" t="s">
        <v>46</v>
      </c>
      <c r="G115" t="s">
        <v>31</v>
      </c>
      <c r="H115">
        <v>27</v>
      </c>
      <c r="I115">
        <v>3008</v>
      </c>
      <c r="J115" s="21">
        <v>44934</v>
      </c>
      <c r="K115" s="21" t="str">
        <f t="shared" si="4"/>
        <v>Jan</v>
      </c>
      <c r="L115">
        <f t="shared" si="5"/>
        <v>2023</v>
      </c>
      <c r="M115" s="23">
        <v>1700</v>
      </c>
      <c r="N115" s="23">
        <v>2500</v>
      </c>
      <c r="O115">
        <v>1</v>
      </c>
      <c r="P115" s="16">
        <f t="shared" si="6"/>
        <v>2500</v>
      </c>
      <c r="Q115" s="23"/>
      <c r="R115" s="23">
        <f t="shared" si="7"/>
        <v>2500</v>
      </c>
      <c r="S115" t="s">
        <v>23</v>
      </c>
      <c r="T115" t="s">
        <v>29</v>
      </c>
    </row>
    <row r="116" spans="1:20">
      <c r="A116">
        <v>1115</v>
      </c>
      <c r="B116">
        <v>2021</v>
      </c>
      <c r="C116" t="s">
        <v>52</v>
      </c>
      <c r="D116" t="s">
        <v>53</v>
      </c>
      <c r="E116" t="s">
        <v>20</v>
      </c>
      <c r="F116" t="s">
        <v>51</v>
      </c>
      <c r="G116" t="s">
        <v>26</v>
      </c>
      <c r="H116">
        <v>24</v>
      </c>
      <c r="I116">
        <v>3021</v>
      </c>
      <c r="J116" s="21">
        <v>44947</v>
      </c>
      <c r="K116" s="21" t="str">
        <f t="shared" si="4"/>
        <v>Jan</v>
      </c>
      <c r="L116">
        <f t="shared" si="5"/>
        <v>2023</v>
      </c>
      <c r="M116" s="23">
        <v>737</v>
      </c>
      <c r="N116" s="23">
        <v>1100</v>
      </c>
      <c r="O116">
        <v>2</v>
      </c>
      <c r="P116" s="16">
        <f t="shared" si="6"/>
        <v>2200</v>
      </c>
      <c r="Q116" s="23"/>
      <c r="R116" s="23">
        <f t="shared" si="7"/>
        <v>2200</v>
      </c>
      <c r="S116" t="s">
        <v>23</v>
      </c>
      <c r="T116" t="s">
        <v>24</v>
      </c>
    </row>
    <row r="117" spans="1:20">
      <c r="A117">
        <v>1116</v>
      </c>
      <c r="B117">
        <v>2022</v>
      </c>
      <c r="C117" t="s">
        <v>54</v>
      </c>
      <c r="D117" t="s">
        <v>55</v>
      </c>
      <c r="E117" t="s">
        <v>20</v>
      </c>
      <c r="F117" t="s">
        <v>51</v>
      </c>
      <c r="G117" t="s">
        <v>31</v>
      </c>
      <c r="H117">
        <v>21</v>
      </c>
      <c r="I117">
        <v>3022</v>
      </c>
      <c r="J117" s="21">
        <v>44948</v>
      </c>
      <c r="K117" s="21" t="str">
        <f t="shared" si="4"/>
        <v>Jan</v>
      </c>
      <c r="L117">
        <f t="shared" si="5"/>
        <v>2023</v>
      </c>
      <c r="M117" s="23">
        <v>938</v>
      </c>
      <c r="N117" s="23">
        <v>1400</v>
      </c>
      <c r="O117">
        <v>1</v>
      </c>
      <c r="P117" s="16">
        <f t="shared" si="6"/>
        <v>1400</v>
      </c>
      <c r="Q117" s="23"/>
      <c r="R117" s="23">
        <f t="shared" si="7"/>
        <v>1400</v>
      </c>
      <c r="S117" t="s">
        <v>28</v>
      </c>
      <c r="T117" t="s">
        <v>29</v>
      </c>
    </row>
    <row r="118" spans="1:20">
      <c r="A118">
        <v>1117</v>
      </c>
      <c r="B118">
        <v>2023</v>
      </c>
      <c r="C118" t="s">
        <v>58</v>
      </c>
      <c r="D118" t="s">
        <v>59</v>
      </c>
      <c r="E118" t="s">
        <v>32</v>
      </c>
      <c r="F118" t="s">
        <v>57</v>
      </c>
      <c r="G118" t="s">
        <v>26</v>
      </c>
      <c r="H118">
        <v>20</v>
      </c>
      <c r="I118">
        <v>3023</v>
      </c>
      <c r="J118" s="21">
        <v>44949</v>
      </c>
      <c r="K118" s="21" t="str">
        <f t="shared" si="4"/>
        <v>Jan</v>
      </c>
      <c r="L118">
        <f t="shared" si="5"/>
        <v>2023</v>
      </c>
      <c r="M118" s="23">
        <v>1190</v>
      </c>
      <c r="N118" s="23">
        <v>1700</v>
      </c>
      <c r="O118">
        <v>3</v>
      </c>
      <c r="P118" s="16">
        <f t="shared" si="6"/>
        <v>5100</v>
      </c>
      <c r="Q118" s="23"/>
      <c r="R118" s="23">
        <f t="shared" si="7"/>
        <v>5100</v>
      </c>
      <c r="S118" t="s">
        <v>23</v>
      </c>
      <c r="T118" t="s">
        <v>35</v>
      </c>
    </row>
    <row r="119" spans="1:20">
      <c r="A119">
        <v>1118</v>
      </c>
      <c r="B119">
        <v>2024</v>
      </c>
      <c r="C119" t="s">
        <v>61</v>
      </c>
      <c r="D119" t="s">
        <v>62</v>
      </c>
      <c r="E119" t="s">
        <v>32</v>
      </c>
      <c r="F119" t="s">
        <v>57</v>
      </c>
      <c r="G119" t="s">
        <v>31</v>
      </c>
      <c r="H119">
        <v>18</v>
      </c>
      <c r="I119">
        <v>3024</v>
      </c>
      <c r="J119" s="21">
        <v>44950</v>
      </c>
      <c r="K119" s="21" t="str">
        <f t="shared" si="4"/>
        <v>Jan</v>
      </c>
      <c r="L119">
        <f t="shared" si="5"/>
        <v>2023</v>
      </c>
      <c r="M119" s="23">
        <v>1400</v>
      </c>
      <c r="N119" s="23">
        <v>2000</v>
      </c>
      <c r="O119">
        <v>1</v>
      </c>
      <c r="P119" s="16">
        <f t="shared" si="6"/>
        <v>2000</v>
      </c>
      <c r="Q119" s="23"/>
      <c r="R119" s="23">
        <f t="shared" si="7"/>
        <v>2000</v>
      </c>
      <c r="S119" t="s">
        <v>23</v>
      </c>
      <c r="T119" t="s">
        <v>24</v>
      </c>
    </row>
    <row r="120" spans="1:20">
      <c r="A120">
        <v>1119</v>
      </c>
      <c r="B120">
        <v>2025</v>
      </c>
      <c r="C120" t="s">
        <v>65</v>
      </c>
      <c r="D120" t="s">
        <v>66</v>
      </c>
      <c r="E120" t="s">
        <v>40</v>
      </c>
      <c r="F120" t="s">
        <v>64</v>
      </c>
      <c r="G120" t="s">
        <v>26</v>
      </c>
      <c r="H120">
        <v>28</v>
      </c>
      <c r="I120">
        <v>3025</v>
      </c>
      <c r="J120" s="21">
        <v>44951</v>
      </c>
      <c r="K120" s="21" t="str">
        <f t="shared" si="4"/>
        <v>Jan</v>
      </c>
      <c r="L120">
        <f t="shared" si="5"/>
        <v>2023</v>
      </c>
      <c r="M120" s="23">
        <v>975</v>
      </c>
      <c r="N120" s="23">
        <v>1500</v>
      </c>
      <c r="O120">
        <v>2</v>
      </c>
      <c r="P120" s="16">
        <f t="shared" si="6"/>
        <v>3000</v>
      </c>
      <c r="Q120" s="23"/>
      <c r="R120" s="23">
        <f t="shared" si="7"/>
        <v>3000</v>
      </c>
      <c r="S120" t="s">
        <v>28</v>
      </c>
      <c r="T120" t="s">
        <v>29</v>
      </c>
    </row>
    <row r="121" spans="1:20">
      <c r="A121">
        <v>1120</v>
      </c>
      <c r="B121">
        <v>2026</v>
      </c>
      <c r="C121" t="s">
        <v>67</v>
      </c>
      <c r="D121" t="s">
        <v>68</v>
      </c>
      <c r="E121" t="s">
        <v>40</v>
      </c>
      <c r="F121" t="s">
        <v>64</v>
      </c>
      <c r="G121" t="s">
        <v>31</v>
      </c>
      <c r="H121">
        <v>26</v>
      </c>
      <c r="I121">
        <v>3026</v>
      </c>
      <c r="J121" s="21">
        <v>44952</v>
      </c>
      <c r="K121" s="21" t="str">
        <f t="shared" si="4"/>
        <v>Jan</v>
      </c>
      <c r="L121">
        <f t="shared" si="5"/>
        <v>2023</v>
      </c>
      <c r="M121" s="23">
        <v>1170</v>
      </c>
      <c r="N121" s="23">
        <v>1800</v>
      </c>
      <c r="O121">
        <v>1</v>
      </c>
      <c r="P121" s="16">
        <f t="shared" si="6"/>
        <v>1800</v>
      </c>
      <c r="Q121" s="23"/>
      <c r="R121" s="23">
        <f t="shared" si="7"/>
        <v>1800</v>
      </c>
      <c r="S121" t="s">
        <v>23</v>
      </c>
      <c r="T121" t="s">
        <v>24</v>
      </c>
    </row>
    <row r="122" spans="1:20">
      <c r="A122">
        <v>1121</v>
      </c>
      <c r="B122">
        <v>2027</v>
      </c>
      <c r="C122" t="s">
        <v>70</v>
      </c>
      <c r="D122" t="s">
        <v>71</v>
      </c>
      <c r="E122" t="s">
        <v>20</v>
      </c>
      <c r="F122" t="s">
        <v>69</v>
      </c>
      <c r="G122" t="s">
        <v>26</v>
      </c>
      <c r="H122">
        <v>30</v>
      </c>
      <c r="I122">
        <v>3027</v>
      </c>
      <c r="J122" s="21">
        <v>44953</v>
      </c>
      <c r="K122" s="21" t="str">
        <f t="shared" si="4"/>
        <v>Jan</v>
      </c>
      <c r="L122">
        <f t="shared" si="5"/>
        <v>2023</v>
      </c>
      <c r="M122" s="23">
        <v>1656</v>
      </c>
      <c r="N122" s="23">
        <v>2300</v>
      </c>
      <c r="O122">
        <v>2</v>
      </c>
      <c r="P122" s="16">
        <f t="shared" si="6"/>
        <v>4600</v>
      </c>
      <c r="Q122" s="23"/>
      <c r="R122" s="23">
        <f t="shared" si="7"/>
        <v>4600</v>
      </c>
      <c r="S122" t="s">
        <v>28</v>
      </c>
      <c r="T122" t="s">
        <v>24</v>
      </c>
    </row>
    <row r="123" spans="1:20">
      <c r="A123">
        <v>1122</v>
      </c>
      <c r="B123">
        <v>2028</v>
      </c>
      <c r="C123" t="s">
        <v>72</v>
      </c>
      <c r="D123" t="s">
        <v>73</v>
      </c>
      <c r="E123" t="s">
        <v>20</v>
      </c>
      <c r="F123" t="s">
        <v>69</v>
      </c>
      <c r="G123" t="s">
        <v>31</v>
      </c>
      <c r="H123">
        <v>28</v>
      </c>
      <c r="I123">
        <v>3028</v>
      </c>
      <c r="J123" s="21">
        <v>44954</v>
      </c>
      <c r="K123" s="21" t="str">
        <f t="shared" si="4"/>
        <v>Jan</v>
      </c>
      <c r="L123">
        <f t="shared" si="5"/>
        <v>2023</v>
      </c>
      <c r="M123" s="23">
        <v>1872</v>
      </c>
      <c r="N123" s="23">
        <v>2600</v>
      </c>
      <c r="O123">
        <v>1</v>
      </c>
      <c r="P123" s="16">
        <f t="shared" si="6"/>
        <v>2600</v>
      </c>
      <c r="Q123" s="23"/>
      <c r="R123" s="23">
        <f t="shared" si="7"/>
        <v>2600</v>
      </c>
      <c r="S123" t="s">
        <v>23</v>
      </c>
      <c r="T123" t="s">
        <v>29</v>
      </c>
    </row>
    <row r="124" spans="1:20">
      <c r="A124">
        <v>1123</v>
      </c>
      <c r="B124">
        <v>2041</v>
      </c>
      <c r="C124" t="s">
        <v>75</v>
      </c>
      <c r="D124" t="s">
        <v>76</v>
      </c>
      <c r="E124" t="s">
        <v>20</v>
      </c>
      <c r="F124" t="s">
        <v>74</v>
      </c>
      <c r="G124" t="s">
        <v>26</v>
      </c>
      <c r="H124">
        <v>32</v>
      </c>
      <c r="I124">
        <v>3041</v>
      </c>
      <c r="J124" s="21">
        <v>44937</v>
      </c>
      <c r="K124" s="21" t="str">
        <f t="shared" si="4"/>
        <v>Jan</v>
      </c>
      <c r="L124">
        <f t="shared" si="5"/>
        <v>2023</v>
      </c>
      <c r="M124" s="23">
        <v>780</v>
      </c>
      <c r="N124" s="23">
        <v>1300</v>
      </c>
      <c r="O124">
        <v>2</v>
      </c>
      <c r="P124" s="16">
        <f t="shared" si="6"/>
        <v>2600</v>
      </c>
      <c r="Q124" s="23"/>
      <c r="R124" s="23">
        <f t="shared" si="7"/>
        <v>2600</v>
      </c>
      <c r="S124" t="s">
        <v>23</v>
      </c>
      <c r="T124" t="s">
        <v>24</v>
      </c>
    </row>
    <row r="125" spans="1:20">
      <c r="A125">
        <v>1124</v>
      </c>
      <c r="B125">
        <v>2042</v>
      </c>
      <c r="C125" t="s">
        <v>77</v>
      </c>
      <c r="D125" t="s">
        <v>78</v>
      </c>
      <c r="E125" t="s">
        <v>20</v>
      </c>
      <c r="F125" t="s">
        <v>74</v>
      </c>
      <c r="G125" t="s">
        <v>31</v>
      </c>
      <c r="H125">
        <v>29</v>
      </c>
      <c r="I125">
        <v>3042</v>
      </c>
      <c r="J125" s="21">
        <v>44938</v>
      </c>
      <c r="K125" s="21" t="str">
        <f t="shared" si="4"/>
        <v>Jan</v>
      </c>
      <c r="L125">
        <f t="shared" si="5"/>
        <v>2023</v>
      </c>
      <c r="M125" s="23">
        <v>960</v>
      </c>
      <c r="N125" s="23">
        <v>1600</v>
      </c>
      <c r="O125">
        <v>1</v>
      </c>
      <c r="P125" s="16">
        <f t="shared" si="6"/>
        <v>1600</v>
      </c>
      <c r="Q125" s="23"/>
      <c r="R125" s="23">
        <f t="shared" si="7"/>
        <v>1600</v>
      </c>
      <c r="S125" t="s">
        <v>28</v>
      </c>
      <c r="T125" t="s">
        <v>29</v>
      </c>
    </row>
    <row r="126" spans="1:20">
      <c r="A126">
        <v>1125</v>
      </c>
      <c r="B126">
        <v>2043</v>
      </c>
      <c r="C126" t="s">
        <v>80</v>
      </c>
      <c r="D126" t="s">
        <v>81</v>
      </c>
      <c r="E126" t="s">
        <v>32</v>
      </c>
      <c r="F126" t="s">
        <v>79</v>
      </c>
      <c r="G126" t="s">
        <v>26</v>
      </c>
      <c r="H126">
        <v>21</v>
      </c>
      <c r="I126">
        <v>3043</v>
      </c>
      <c r="J126" s="21">
        <v>44939</v>
      </c>
      <c r="K126" s="21" t="str">
        <f t="shared" si="4"/>
        <v>Jan</v>
      </c>
      <c r="L126">
        <f t="shared" si="5"/>
        <v>2023</v>
      </c>
      <c r="M126" s="23">
        <v>1292</v>
      </c>
      <c r="N126" s="23">
        <v>1900</v>
      </c>
      <c r="O126">
        <v>3</v>
      </c>
      <c r="P126" s="16">
        <f t="shared" si="6"/>
        <v>5700</v>
      </c>
      <c r="Q126" s="23"/>
      <c r="R126" s="23">
        <f t="shared" si="7"/>
        <v>5700</v>
      </c>
      <c r="S126" t="s">
        <v>23</v>
      </c>
      <c r="T126" t="s">
        <v>35</v>
      </c>
    </row>
    <row r="127" spans="1:20">
      <c r="A127">
        <v>1126</v>
      </c>
      <c r="B127">
        <v>2044</v>
      </c>
      <c r="C127" t="s">
        <v>82</v>
      </c>
      <c r="D127" t="s">
        <v>83</v>
      </c>
      <c r="E127" t="s">
        <v>32</v>
      </c>
      <c r="F127" t="s">
        <v>79</v>
      </c>
      <c r="G127" t="s">
        <v>31</v>
      </c>
      <c r="H127">
        <v>19</v>
      </c>
      <c r="I127">
        <v>3044</v>
      </c>
      <c r="J127" s="21">
        <v>44940</v>
      </c>
      <c r="K127" s="21" t="str">
        <f t="shared" si="4"/>
        <v>Jan</v>
      </c>
      <c r="L127">
        <f t="shared" si="5"/>
        <v>2023</v>
      </c>
      <c r="M127" s="23">
        <v>1496</v>
      </c>
      <c r="N127" s="23">
        <v>2200</v>
      </c>
      <c r="O127">
        <v>1</v>
      </c>
      <c r="P127" s="16">
        <f t="shared" si="6"/>
        <v>2200</v>
      </c>
      <c r="Q127" s="23"/>
      <c r="R127" s="23">
        <f t="shared" si="7"/>
        <v>2200</v>
      </c>
      <c r="S127" t="s">
        <v>23</v>
      </c>
      <c r="T127" t="s">
        <v>24</v>
      </c>
    </row>
    <row r="128" spans="1:20">
      <c r="A128">
        <v>1127</v>
      </c>
      <c r="B128">
        <v>2045</v>
      </c>
      <c r="C128" t="s">
        <v>85</v>
      </c>
      <c r="D128" t="s">
        <v>86</v>
      </c>
      <c r="E128" t="s">
        <v>40</v>
      </c>
      <c r="F128" t="s">
        <v>84</v>
      </c>
      <c r="G128" t="s">
        <v>26</v>
      </c>
      <c r="H128">
        <v>36</v>
      </c>
      <c r="I128">
        <v>3045</v>
      </c>
      <c r="J128" s="21">
        <v>44941</v>
      </c>
      <c r="K128" s="21" t="str">
        <f t="shared" si="4"/>
        <v>Jan</v>
      </c>
      <c r="L128">
        <f t="shared" si="5"/>
        <v>2023</v>
      </c>
      <c r="M128" s="23">
        <v>1340</v>
      </c>
      <c r="N128" s="23">
        <v>2000</v>
      </c>
      <c r="O128">
        <v>2</v>
      </c>
      <c r="P128" s="16">
        <f t="shared" si="6"/>
        <v>4000</v>
      </c>
      <c r="Q128" s="23"/>
      <c r="R128" s="23">
        <f t="shared" si="7"/>
        <v>4000</v>
      </c>
      <c r="S128" t="s">
        <v>28</v>
      </c>
      <c r="T128" t="s">
        <v>29</v>
      </c>
    </row>
    <row r="129" spans="1:20">
      <c r="A129">
        <v>1128</v>
      </c>
      <c r="B129">
        <v>2046</v>
      </c>
      <c r="C129" t="s">
        <v>87</v>
      </c>
      <c r="D129" t="s">
        <v>88</v>
      </c>
      <c r="E129" t="s">
        <v>40</v>
      </c>
      <c r="F129" t="s">
        <v>84</v>
      </c>
      <c r="G129" t="s">
        <v>31</v>
      </c>
      <c r="H129">
        <v>34</v>
      </c>
      <c r="I129">
        <v>3046</v>
      </c>
      <c r="J129" s="21">
        <v>44942</v>
      </c>
      <c r="K129" s="21" t="str">
        <f t="shared" si="4"/>
        <v>Jan</v>
      </c>
      <c r="L129">
        <f t="shared" si="5"/>
        <v>2023</v>
      </c>
      <c r="M129" s="23">
        <v>1541</v>
      </c>
      <c r="N129" s="23">
        <v>2300</v>
      </c>
      <c r="O129">
        <v>1</v>
      </c>
      <c r="P129" s="16">
        <f t="shared" si="6"/>
        <v>2300</v>
      </c>
      <c r="Q129" s="23"/>
      <c r="R129" s="23">
        <f t="shared" si="7"/>
        <v>2300</v>
      </c>
      <c r="S129" t="s">
        <v>23</v>
      </c>
      <c r="T129" t="s">
        <v>24</v>
      </c>
    </row>
    <row r="130" spans="1:20">
      <c r="A130">
        <v>1129</v>
      </c>
      <c r="B130">
        <v>2047</v>
      </c>
      <c r="C130" t="s">
        <v>90</v>
      </c>
      <c r="D130" t="s">
        <v>91</v>
      </c>
      <c r="E130" t="s">
        <v>20</v>
      </c>
      <c r="F130" t="s">
        <v>89</v>
      </c>
      <c r="G130" t="s">
        <v>26</v>
      </c>
      <c r="H130">
        <v>40</v>
      </c>
      <c r="I130">
        <v>3047</v>
      </c>
      <c r="J130" s="21">
        <v>44943</v>
      </c>
      <c r="K130" s="21" t="str">
        <f t="shared" ref="K130:K193" si="8">TEXT(J130,"mmm")</f>
        <v>Jan</v>
      </c>
      <c r="L130">
        <f t="shared" ref="L130:L193" si="9">YEAR(J130)</f>
        <v>2023</v>
      </c>
      <c r="M130" s="23">
        <v>2250</v>
      </c>
      <c r="N130" s="23">
        <v>3000</v>
      </c>
      <c r="O130">
        <v>2</v>
      </c>
      <c r="P130" s="16">
        <f t="shared" ref="P130:P193" si="10">N130*O130</f>
        <v>6000</v>
      </c>
      <c r="Q130" s="23"/>
      <c r="R130" s="23">
        <f t="shared" ref="R130:R193" si="11">P130+Q130</f>
        <v>6000</v>
      </c>
      <c r="S130" t="s">
        <v>28</v>
      </c>
      <c r="T130" t="s">
        <v>24</v>
      </c>
    </row>
    <row r="131" spans="1:20">
      <c r="A131">
        <v>1130</v>
      </c>
      <c r="B131">
        <v>2048</v>
      </c>
      <c r="C131" t="s">
        <v>92</v>
      </c>
      <c r="D131" t="s">
        <v>93</v>
      </c>
      <c r="E131" t="s">
        <v>20</v>
      </c>
      <c r="F131" t="s">
        <v>89</v>
      </c>
      <c r="G131" t="s">
        <v>31</v>
      </c>
      <c r="H131">
        <v>38</v>
      </c>
      <c r="I131">
        <v>3048</v>
      </c>
      <c r="J131" s="21">
        <v>44944</v>
      </c>
      <c r="K131" s="21" t="str">
        <f t="shared" si="8"/>
        <v>Jan</v>
      </c>
      <c r="L131">
        <f t="shared" si="9"/>
        <v>2023</v>
      </c>
      <c r="M131" s="23">
        <v>2625</v>
      </c>
      <c r="N131" s="23">
        <v>3500</v>
      </c>
      <c r="O131">
        <v>1</v>
      </c>
      <c r="P131" s="16">
        <f t="shared" si="10"/>
        <v>3500</v>
      </c>
      <c r="Q131" s="23"/>
      <c r="R131" s="23">
        <f t="shared" si="11"/>
        <v>3500</v>
      </c>
      <c r="S131" t="s">
        <v>23</v>
      </c>
      <c r="T131" t="s">
        <v>29</v>
      </c>
    </row>
    <row r="132" spans="1:20">
      <c r="A132">
        <v>1131</v>
      </c>
      <c r="B132">
        <v>2061</v>
      </c>
      <c r="C132" t="s">
        <v>96</v>
      </c>
      <c r="D132" t="s">
        <v>97</v>
      </c>
      <c r="E132" t="s">
        <v>94</v>
      </c>
      <c r="F132" t="s">
        <v>95</v>
      </c>
      <c r="G132" t="s">
        <v>26</v>
      </c>
      <c r="H132">
        <v>35</v>
      </c>
      <c r="I132">
        <v>3061</v>
      </c>
      <c r="J132" s="21">
        <v>44927</v>
      </c>
      <c r="K132" s="21" t="str">
        <f t="shared" si="8"/>
        <v>Jan</v>
      </c>
      <c r="L132">
        <f t="shared" si="9"/>
        <v>2023</v>
      </c>
      <c r="M132" s="23">
        <v>1460</v>
      </c>
      <c r="N132" s="23">
        <v>2000</v>
      </c>
      <c r="O132">
        <v>2</v>
      </c>
      <c r="P132" s="16">
        <f t="shared" si="10"/>
        <v>4000</v>
      </c>
      <c r="Q132" s="23"/>
      <c r="R132" s="23">
        <f t="shared" si="11"/>
        <v>4000</v>
      </c>
      <c r="S132" t="s">
        <v>23</v>
      </c>
      <c r="T132" t="s">
        <v>24</v>
      </c>
    </row>
    <row r="133" spans="1:20">
      <c r="A133">
        <v>1132</v>
      </c>
      <c r="B133">
        <v>2062</v>
      </c>
      <c r="C133" t="s">
        <v>98</v>
      </c>
      <c r="D133" t="s">
        <v>99</v>
      </c>
      <c r="E133" t="s">
        <v>94</v>
      </c>
      <c r="F133" t="s">
        <v>95</v>
      </c>
      <c r="G133" t="s">
        <v>31</v>
      </c>
      <c r="H133">
        <v>33</v>
      </c>
      <c r="I133">
        <v>3062</v>
      </c>
      <c r="J133" s="21">
        <v>44928</v>
      </c>
      <c r="K133" s="21" t="str">
        <f t="shared" si="8"/>
        <v>Jan</v>
      </c>
      <c r="L133">
        <f t="shared" si="9"/>
        <v>2023</v>
      </c>
      <c r="M133" s="23">
        <v>1825</v>
      </c>
      <c r="N133" s="23">
        <v>2500</v>
      </c>
      <c r="O133">
        <v>1</v>
      </c>
      <c r="P133" s="16">
        <f t="shared" si="10"/>
        <v>2500</v>
      </c>
      <c r="Q133" s="23"/>
      <c r="R133" s="23">
        <f t="shared" si="11"/>
        <v>2500</v>
      </c>
      <c r="S133" t="s">
        <v>28</v>
      </c>
      <c r="T133" t="s">
        <v>29</v>
      </c>
    </row>
    <row r="134" spans="1:20">
      <c r="A134">
        <v>1133</v>
      </c>
      <c r="B134">
        <v>2063</v>
      </c>
      <c r="C134" t="s">
        <v>101</v>
      </c>
      <c r="D134" t="s">
        <v>102</v>
      </c>
      <c r="E134" t="s">
        <v>32</v>
      </c>
      <c r="F134" t="s">
        <v>100</v>
      </c>
      <c r="G134" t="s">
        <v>26</v>
      </c>
      <c r="H134">
        <v>22</v>
      </c>
      <c r="I134">
        <v>3063</v>
      </c>
      <c r="J134" s="21">
        <v>44929</v>
      </c>
      <c r="K134" s="21" t="str">
        <f t="shared" si="8"/>
        <v>Jan</v>
      </c>
      <c r="L134">
        <f t="shared" si="9"/>
        <v>2023</v>
      </c>
      <c r="M134" s="23">
        <v>1105</v>
      </c>
      <c r="N134" s="23">
        <v>1700</v>
      </c>
      <c r="O134">
        <v>3</v>
      </c>
      <c r="P134" s="16">
        <f t="shared" si="10"/>
        <v>5100</v>
      </c>
      <c r="Q134" s="23"/>
      <c r="R134" s="23">
        <f t="shared" si="11"/>
        <v>5100</v>
      </c>
      <c r="S134" t="s">
        <v>23</v>
      </c>
      <c r="T134" t="s">
        <v>35</v>
      </c>
    </row>
    <row r="135" spans="1:20">
      <c r="A135">
        <v>1134</v>
      </c>
      <c r="B135">
        <v>2064</v>
      </c>
      <c r="C135" t="s">
        <v>103</v>
      </c>
      <c r="D135" t="s">
        <v>104</v>
      </c>
      <c r="E135" t="s">
        <v>32</v>
      </c>
      <c r="F135" t="s">
        <v>100</v>
      </c>
      <c r="G135" t="s">
        <v>31</v>
      </c>
      <c r="H135">
        <v>20</v>
      </c>
      <c r="I135">
        <v>3064</v>
      </c>
      <c r="J135" s="21">
        <v>44930</v>
      </c>
      <c r="K135" s="21" t="str">
        <f t="shared" si="8"/>
        <v>Jan</v>
      </c>
      <c r="L135">
        <f t="shared" si="9"/>
        <v>2023</v>
      </c>
      <c r="M135" s="23">
        <v>1365</v>
      </c>
      <c r="N135" s="23">
        <v>2100</v>
      </c>
      <c r="O135">
        <v>1</v>
      </c>
      <c r="P135" s="16">
        <f t="shared" si="10"/>
        <v>2100</v>
      </c>
      <c r="Q135" s="23"/>
      <c r="R135" s="23">
        <f t="shared" si="11"/>
        <v>2100</v>
      </c>
      <c r="S135" t="s">
        <v>23</v>
      </c>
      <c r="T135" t="s">
        <v>24</v>
      </c>
    </row>
    <row r="136" spans="1:20">
      <c r="A136">
        <v>1135</v>
      </c>
      <c r="B136">
        <v>2065</v>
      </c>
      <c r="C136" t="s">
        <v>106</v>
      </c>
      <c r="D136" t="s">
        <v>107</v>
      </c>
      <c r="E136" t="s">
        <v>40</v>
      </c>
      <c r="F136" t="s">
        <v>105</v>
      </c>
      <c r="G136" t="s">
        <v>26</v>
      </c>
      <c r="H136">
        <v>30</v>
      </c>
      <c r="I136">
        <v>3065</v>
      </c>
      <c r="J136" s="21">
        <v>44931</v>
      </c>
      <c r="K136" s="21" t="str">
        <f t="shared" si="8"/>
        <v>Jan</v>
      </c>
      <c r="L136">
        <f t="shared" si="9"/>
        <v>2023</v>
      </c>
      <c r="M136" s="23">
        <v>1035</v>
      </c>
      <c r="N136" s="23">
        <v>1500</v>
      </c>
      <c r="O136">
        <v>2</v>
      </c>
      <c r="P136" s="16">
        <f t="shared" si="10"/>
        <v>3000</v>
      </c>
      <c r="Q136" s="23"/>
      <c r="R136" s="23">
        <f t="shared" si="11"/>
        <v>3000</v>
      </c>
      <c r="S136" t="s">
        <v>28</v>
      </c>
      <c r="T136" t="s">
        <v>29</v>
      </c>
    </row>
    <row r="137" spans="1:20">
      <c r="A137">
        <v>1136</v>
      </c>
      <c r="B137">
        <v>2066</v>
      </c>
      <c r="C137" t="s">
        <v>108</v>
      </c>
      <c r="D137" t="s">
        <v>109</v>
      </c>
      <c r="E137" t="s">
        <v>40</v>
      </c>
      <c r="F137" t="s">
        <v>105</v>
      </c>
      <c r="G137" t="s">
        <v>31</v>
      </c>
      <c r="H137">
        <v>28</v>
      </c>
      <c r="I137">
        <v>3066</v>
      </c>
      <c r="J137" s="21">
        <v>44932</v>
      </c>
      <c r="K137" s="21" t="str">
        <f t="shared" si="8"/>
        <v>Jan</v>
      </c>
      <c r="L137">
        <f t="shared" si="9"/>
        <v>2023</v>
      </c>
      <c r="M137" s="23">
        <v>1242</v>
      </c>
      <c r="N137" s="23">
        <v>1800</v>
      </c>
      <c r="O137">
        <v>1</v>
      </c>
      <c r="P137" s="16">
        <f t="shared" si="10"/>
        <v>1800</v>
      </c>
      <c r="Q137" s="23"/>
      <c r="R137" s="23">
        <f t="shared" si="11"/>
        <v>1800</v>
      </c>
      <c r="S137" t="s">
        <v>23</v>
      </c>
      <c r="T137" t="s">
        <v>24</v>
      </c>
    </row>
    <row r="138" spans="1:20">
      <c r="A138">
        <v>1137</v>
      </c>
      <c r="B138">
        <v>2067</v>
      </c>
      <c r="C138" t="s">
        <v>111</v>
      </c>
      <c r="D138" t="s">
        <v>91</v>
      </c>
      <c r="E138" t="s">
        <v>94</v>
      </c>
      <c r="F138" t="s">
        <v>110</v>
      </c>
      <c r="G138" t="s">
        <v>26</v>
      </c>
      <c r="H138">
        <v>42</v>
      </c>
      <c r="I138">
        <v>3067</v>
      </c>
      <c r="J138" s="21">
        <v>44933</v>
      </c>
      <c r="K138" s="21" t="str">
        <f t="shared" si="8"/>
        <v>Jan</v>
      </c>
      <c r="L138">
        <f t="shared" si="9"/>
        <v>2023</v>
      </c>
      <c r="M138" s="23">
        <v>2080</v>
      </c>
      <c r="N138" s="23">
        <v>3200</v>
      </c>
      <c r="O138">
        <v>2</v>
      </c>
      <c r="P138" s="16">
        <f t="shared" si="10"/>
        <v>6400</v>
      </c>
      <c r="Q138" s="23"/>
      <c r="R138" s="23">
        <f t="shared" si="11"/>
        <v>6400</v>
      </c>
      <c r="S138" t="s">
        <v>28</v>
      </c>
      <c r="T138" t="s">
        <v>24</v>
      </c>
    </row>
    <row r="139" spans="1:20">
      <c r="A139">
        <v>1138</v>
      </c>
      <c r="B139">
        <v>2068</v>
      </c>
      <c r="C139" t="s">
        <v>112</v>
      </c>
      <c r="D139" t="s">
        <v>93</v>
      </c>
      <c r="E139" t="s">
        <v>94</v>
      </c>
      <c r="F139" t="s">
        <v>110</v>
      </c>
      <c r="G139" t="s">
        <v>31</v>
      </c>
      <c r="H139">
        <v>40</v>
      </c>
      <c r="I139">
        <v>3068</v>
      </c>
      <c r="J139" s="21">
        <v>44934</v>
      </c>
      <c r="K139" s="21" t="str">
        <f t="shared" si="8"/>
        <v>Jan</v>
      </c>
      <c r="L139">
        <f t="shared" si="9"/>
        <v>2023</v>
      </c>
      <c r="M139" s="23">
        <v>2405</v>
      </c>
      <c r="N139" s="23">
        <v>3700</v>
      </c>
      <c r="O139">
        <v>1</v>
      </c>
      <c r="P139" s="16">
        <f t="shared" si="10"/>
        <v>3700</v>
      </c>
      <c r="Q139" s="23"/>
      <c r="R139" s="23">
        <f t="shared" si="11"/>
        <v>3700</v>
      </c>
      <c r="S139" t="s">
        <v>23</v>
      </c>
      <c r="T139" t="s">
        <v>29</v>
      </c>
    </row>
    <row r="140" spans="1:20">
      <c r="A140">
        <v>1139</v>
      </c>
      <c r="B140">
        <v>2081</v>
      </c>
      <c r="C140" t="s">
        <v>115</v>
      </c>
      <c r="D140" t="s">
        <v>116</v>
      </c>
      <c r="E140" t="s">
        <v>113</v>
      </c>
      <c r="F140" t="s">
        <v>114</v>
      </c>
      <c r="G140" t="s">
        <v>26</v>
      </c>
      <c r="H140">
        <v>27</v>
      </c>
      <c r="I140">
        <v>3081</v>
      </c>
      <c r="J140" s="21">
        <v>44976</v>
      </c>
      <c r="K140" s="21" t="str">
        <f t="shared" si="8"/>
        <v>Feb</v>
      </c>
      <c r="L140">
        <f t="shared" si="9"/>
        <v>2023</v>
      </c>
      <c r="M140" s="23">
        <v>720</v>
      </c>
      <c r="N140" s="23">
        <v>1200</v>
      </c>
      <c r="O140">
        <v>2</v>
      </c>
      <c r="P140" s="16">
        <f t="shared" si="10"/>
        <v>2400</v>
      </c>
      <c r="Q140" s="23"/>
      <c r="R140" s="23">
        <f t="shared" si="11"/>
        <v>2400</v>
      </c>
      <c r="S140" t="s">
        <v>23</v>
      </c>
      <c r="T140" t="s">
        <v>24</v>
      </c>
    </row>
    <row r="141" spans="1:20">
      <c r="A141">
        <v>1140</v>
      </c>
      <c r="B141">
        <v>2082</v>
      </c>
      <c r="C141" t="s">
        <v>117</v>
      </c>
      <c r="D141" t="s">
        <v>118</v>
      </c>
      <c r="E141" t="s">
        <v>113</v>
      </c>
      <c r="F141" t="s">
        <v>114</v>
      </c>
      <c r="G141" t="s">
        <v>31</v>
      </c>
      <c r="H141">
        <v>25</v>
      </c>
      <c r="I141">
        <v>3082</v>
      </c>
      <c r="J141" s="21">
        <v>44977</v>
      </c>
      <c r="K141" s="21" t="str">
        <f t="shared" si="8"/>
        <v>Feb</v>
      </c>
      <c r="L141">
        <f t="shared" si="9"/>
        <v>2023</v>
      </c>
      <c r="M141" s="23">
        <v>900</v>
      </c>
      <c r="N141" s="23">
        <v>1500</v>
      </c>
      <c r="O141">
        <v>1</v>
      </c>
      <c r="P141" s="16">
        <f t="shared" si="10"/>
        <v>1500</v>
      </c>
      <c r="Q141" s="23"/>
      <c r="R141" s="23">
        <f t="shared" si="11"/>
        <v>1500</v>
      </c>
      <c r="S141" t="s">
        <v>28</v>
      </c>
      <c r="T141" t="s">
        <v>29</v>
      </c>
    </row>
    <row r="142" spans="1:20">
      <c r="A142">
        <v>1141</v>
      </c>
      <c r="B142">
        <v>2083</v>
      </c>
      <c r="C142" t="s">
        <v>120</v>
      </c>
      <c r="D142" t="s">
        <v>121</v>
      </c>
      <c r="E142" t="s">
        <v>32</v>
      </c>
      <c r="F142" t="s">
        <v>119</v>
      </c>
      <c r="G142" t="s">
        <v>26</v>
      </c>
      <c r="H142">
        <v>18</v>
      </c>
      <c r="I142">
        <v>3083</v>
      </c>
      <c r="J142" s="21">
        <v>44978</v>
      </c>
      <c r="K142" s="21" t="str">
        <f t="shared" si="8"/>
        <v>Feb</v>
      </c>
      <c r="L142">
        <f t="shared" si="9"/>
        <v>2023</v>
      </c>
      <c r="M142" s="23">
        <v>1932</v>
      </c>
      <c r="N142" s="23">
        <v>2800</v>
      </c>
      <c r="O142">
        <v>3</v>
      </c>
      <c r="P142" s="16">
        <f t="shared" si="10"/>
        <v>8400</v>
      </c>
      <c r="Q142" s="23"/>
      <c r="R142" s="23">
        <f t="shared" si="11"/>
        <v>8400</v>
      </c>
      <c r="S142" t="s">
        <v>23</v>
      </c>
      <c r="T142" t="s">
        <v>35</v>
      </c>
    </row>
    <row r="143" spans="1:20">
      <c r="A143">
        <v>1142</v>
      </c>
      <c r="B143">
        <v>2084</v>
      </c>
      <c r="C143" t="s">
        <v>122</v>
      </c>
      <c r="D143" t="s">
        <v>123</v>
      </c>
      <c r="E143" t="s">
        <v>32</v>
      </c>
      <c r="F143" t="s">
        <v>119</v>
      </c>
      <c r="G143" t="s">
        <v>31</v>
      </c>
      <c r="H143">
        <v>16</v>
      </c>
      <c r="I143">
        <v>3084</v>
      </c>
      <c r="J143" s="21">
        <v>44979</v>
      </c>
      <c r="K143" s="21" t="str">
        <f t="shared" si="8"/>
        <v>Feb</v>
      </c>
      <c r="L143">
        <f t="shared" si="9"/>
        <v>2023</v>
      </c>
      <c r="M143" s="23">
        <v>2208</v>
      </c>
      <c r="N143" s="23">
        <v>3200</v>
      </c>
      <c r="O143">
        <v>1</v>
      </c>
      <c r="P143" s="16">
        <f t="shared" si="10"/>
        <v>3200</v>
      </c>
      <c r="Q143" s="23"/>
      <c r="R143" s="23">
        <f t="shared" si="11"/>
        <v>3200</v>
      </c>
      <c r="S143" t="s">
        <v>23</v>
      </c>
      <c r="T143" t="s">
        <v>24</v>
      </c>
    </row>
    <row r="144" spans="1:20">
      <c r="A144">
        <v>1143</v>
      </c>
      <c r="B144">
        <v>2085</v>
      </c>
      <c r="C144" t="s">
        <v>125</v>
      </c>
      <c r="D144" t="s">
        <v>126</v>
      </c>
      <c r="E144" t="s">
        <v>40</v>
      </c>
      <c r="F144" t="s">
        <v>124</v>
      </c>
      <c r="G144" t="s">
        <v>26</v>
      </c>
      <c r="H144">
        <v>33</v>
      </c>
      <c r="I144">
        <v>3085</v>
      </c>
      <c r="J144" s="21">
        <v>44980</v>
      </c>
      <c r="K144" s="21" t="str">
        <f t="shared" si="8"/>
        <v>Feb</v>
      </c>
      <c r="L144">
        <f t="shared" si="9"/>
        <v>2023</v>
      </c>
      <c r="M144" s="23">
        <v>1500</v>
      </c>
      <c r="N144" s="23">
        <v>2000</v>
      </c>
      <c r="O144">
        <v>2</v>
      </c>
      <c r="P144" s="16">
        <f t="shared" si="10"/>
        <v>4000</v>
      </c>
      <c r="Q144" s="23"/>
      <c r="R144" s="23">
        <f t="shared" si="11"/>
        <v>4000</v>
      </c>
      <c r="S144" t="s">
        <v>28</v>
      </c>
      <c r="T144" t="s">
        <v>29</v>
      </c>
    </row>
    <row r="145" spans="1:20">
      <c r="A145">
        <v>1144</v>
      </c>
      <c r="B145">
        <v>2086</v>
      </c>
      <c r="C145" t="s">
        <v>127</v>
      </c>
      <c r="D145" t="s">
        <v>128</v>
      </c>
      <c r="E145" t="s">
        <v>40</v>
      </c>
      <c r="F145" t="s">
        <v>124</v>
      </c>
      <c r="G145" t="s">
        <v>31</v>
      </c>
      <c r="H145">
        <v>30</v>
      </c>
      <c r="I145">
        <v>3086</v>
      </c>
      <c r="J145" s="21">
        <v>44981</v>
      </c>
      <c r="K145" s="21" t="str">
        <f t="shared" si="8"/>
        <v>Feb</v>
      </c>
      <c r="L145">
        <f t="shared" si="9"/>
        <v>2023</v>
      </c>
      <c r="M145" s="23">
        <v>1800</v>
      </c>
      <c r="N145" s="23">
        <v>2400</v>
      </c>
      <c r="O145">
        <v>1</v>
      </c>
      <c r="P145" s="16">
        <f t="shared" si="10"/>
        <v>2400</v>
      </c>
      <c r="Q145" s="23"/>
      <c r="R145" s="23">
        <f t="shared" si="11"/>
        <v>2400</v>
      </c>
      <c r="S145" t="s">
        <v>23</v>
      </c>
      <c r="T145" t="s">
        <v>24</v>
      </c>
    </row>
    <row r="146" spans="1:20">
      <c r="A146">
        <v>1145</v>
      </c>
      <c r="B146">
        <v>2087</v>
      </c>
      <c r="C146" t="s">
        <v>129</v>
      </c>
      <c r="D146" t="s">
        <v>130</v>
      </c>
      <c r="E146" t="s">
        <v>20</v>
      </c>
      <c r="F146" t="s">
        <v>46</v>
      </c>
      <c r="G146" t="s">
        <v>26</v>
      </c>
      <c r="H146">
        <v>34</v>
      </c>
      <c r="I146">
        <v>3087</v>
      </c>
      <c r="J146" s="21">
        <v>44982</v>
      </c>
      <c r="K146" s="21" t="str">
        <f t="shared" si="8"/>
        <v>Feb</v>
      </c>
      <c r="L146">
        <f t="shared" si="9"/>
        <v>2023</v>
      </c>
      <c r="M146" s="23">
        <v>2291</v>
      </c>
      <c r="N146" s="23">
        <v>2900</v>
      </c>
      <c r="O146">
        <v>2</v>
      </c>
      <c r="P146" s="16">
        <f t="shared" si="10"/>
        <v>5800</v>
      </c>
      <c r="Q146" s="23"/>
      <c r="R146" s="23">
        <f t="shared" si="11"/>
        <v>5800</v>
      </c>
      <c r="S146" t="s">
        <v>28</v>
      </c>
      <c r="T146" t="s">
        <v>24</v>
      </c>
    </row>
    <row r="147" spans="1:20">
      <c r="A147">
        <v>1146</v>
      </c>
      <c r="B147">
        <v>2022</v>
      </c>
      <c r="C147" t="s">
        <v>54</v>
      </c>
      <c r="D147" t="s">
        <v>55</v>
      </c>
      <c r="E147" t="s">
        <v>20</v>
      </c>
      <c r="F147" t="s">
        <v>51</v>
      </c>
      <c r="G147" t="s">
        <v>31</v>
      </c>
      <c r="H147">
        <v>21</v>
      </c>
      <c r="I147">
        <v>3022</v>
      </c>
      <c r="J147" s="21">
        <v>44979</v>
      </c>
      <c r="K147" s="21" t="str">
        <f t="shared" si="8"/>
        <v>Feb</v>
      </c>
      <c r="L147">
        <f t="shared" si="9"/>
        <v>2023</v>
      </c>
      <c r="M147" s="23">
        <v>938</v>
      </c>
      <c r="N147" s="23">
        <v>1400</v>
      </c>
      <c r="O147">
        <v>1</v>
      </c>
      <c r="P147" s="16">
        <f t="shared" si="10"/>
        <v>1400</v>
      </c>
      <c r="Q147" s="23"/>
      <c r="R147" s="23">
        <f t="shared" si="11"/>
        <v>1400</v>
      </c>
      <c r="S147" t="s">
        <v>28</v>
      </c>
      <c r="T147" t="s">
        <v>29</v>
      </c>
    </row>
    <row r="148" spans="1:20">
      <c r="A148">
        <v>1147</v>
      </c>
      <c r="B148">
        <v>2023</v>
      </c>
      <c r="C148" t="s">
        <v>58</v>
      </c>
      <c r="D148" t="s">
        <v>59</v>
      </c>
      <c r="E148" t="s">
        <v>32</v>
      </c>
      <c r="F148" t="s">
        <v>57</v>
      </c>
      <c r="G148" t="s">
        <v>26</v>
      </c>
      <c r="H148">
        <v>20</v>
      </c>
      <c r="I148">
        <v>3023</v>
      </c>
      <c r="J148" s="21">
        <v>44980</v>
      </c>
      <c r="K148" s="21" t="str">
        <f t="shared" si="8"/>
        <v>Feb</v>
      </c>
      <c r="L148">
        <f t="shared" si="9"/>
        <v>2023</v>
      </c>
      <c r="M148" s="23">
        <v>1190</v>
      </c>
      <c r="N148" s="23">
        <v>1700</v>
      </c>
      <c r="O148">
        <v>3</v>
      </c>
      <c r="P148" s="16">
        <f t="shared" si="10"/>
        <v>5100</v>
      </c>
      <c r="Q148" s="23"/>
      <c r="R148" s="23">
        <f t="shared" si="11"/>
        <v>5100</v>
      </c>
      <c r="S148" t="s">
        <v>23</v>
      </c>
      <c r="T148" t="s">
        <v>35</v>
      </c>
    </row>
    <row r="149" spans="1:20">
      <c r="A149">
        <v>1148</v>
      </c>
      <c r="B149">
        <v>2024</v>
      </c>
      <c r="C149" t="s">
        <v>61</v>
      </c>
      <c r="D149" t="s">
        <v>62</v>
      </c>
      <c r="E149" t="s">
        <v>32</v>
      </c>
      <c r="F149" t="s">
        <v>57</v>
      </c>
      <c r="G149" t="s">
        <v>31</v>
      </c>
      <c r="H149">
        <v>18</v>
      </c>
      <c r="I149">
        <v>3024</v>
      </c>
      <c r="J149" s="21">
        <v>44981</v>
      </c>
      <c r="K149" s="21" t="str">
        <f t="shared" si="8"/>
        <v>Feb</v>
      </c>
      <c r="L149">
        <f t="shared" si="9"/>
        <v>2023</v>
      </c>
      <c r="M149" s="23">
        <v>1400</v>
      </c>
      <c r="N149" s="23">
        <v>2000</v>
      </c>
      <c r="O149">
        <v>1</v>
      </c>
      <c r="P149" s="16">
        <f t="shared" si="10"/>
        <v>2000</v>
      </c>
      <c r="Q149" s="23"/>
      <c r="R149" s="23">
        <f t="shared" si="11"/>
        <v>2000</v>
      </c>
      <c r="S149" t="s">
        <v>23</v>
      </c>
      <c r="T149" t="s">
        <v>24</v>
      </c>
    </row>
    <row r="150" spans="1:20">
      <c r="A150">
        <v>1149</v>
      </c>
      <c r="B150">
        <v>2025</v>
      </c>
      <c r="C150" t="s">
        <v>65</v>
      </c>
      <c r="D150" t="s">
        <v>66</v>
      </c>
      <c r="E150" t="s">
        <v>40</v>
      </c>
      <c r="F150" t="s">
        <v>64</v>
      </c>
      <c r="G150" t="s">
        <v>26</v>
      </c>
      <c r="H150">
        <v>28</v>
      </c>
      <c r="I150">
        <v>3025</v>
      </c>
      <c r="J150" s="21">
        <v>44982</v>
      </c>
      <c r="K150" s="21" t="str">
        <f t="shared" si="8"/>
        <v>Feb</v>
      </c>
      <c r="L150">
        <f t="shared" si="9"/>
        <v>2023</v>
      </c>
      <c r="M150" s="23">
        <v>975</v>
      </c>
      <c r="N150" s="23">
        <v>1500</v>
      </c>
      <c r="O150">
        <v>2</v>
      </c>
      <c r="P150" s="16">
        <f t="shared" si="10"/>
        <v>3000</v>
      </c>
      <c r="Q150" s="23"/>
      <c r="R150" s="23">
        <f t="shared" si="11"/>
        <v>3000</v>
      </c>
      <c r="S150" t="s">
        <v>28</v>
      </c>
      <c r="T150" t="s">
        <v>29</v>
      </c>
    </row>
    <row r="151" spans="1:20">
      <c r="A151">
        <v>1150</v>
      </c>
      <c r="B151">
        <v>2026</v>
      </c>
      <c r="C151" t="s">
        <v>67</v>
      </c>
      <c r="D151" t="s">
        <v>68</v>
      </c>
      <c r="E151" t="s">
        <v>40</v>
      </c>
      <c r="F151" t="s">
        <v>64</v>
      </c>
      <c r="G151" t="s">
        <v>31</v>
      </c>
      <c r="H151">
        <v>26</v>
      </c>
      <c r="I151">
        <v>3026</v>
      </c>
      <c r="J151" s="21">
        <v>44983</v>
      </c>
      <c r="K151" s="21" t="str">
        <f t="shared" si="8"/>
        <v>Feb</v>
      </c>
      <c r="L151">
        <f t="shared" si="9"/>
        <v>2023</v>
      </c>
      <c r="M151" s="23">
        <v>1170</v>
      </c>
      <c r="N151" s="23">
        <v>1800</v>
      </c>
      <c r="O151">
        <v>1</v>
      </c>
      <c r="P151" s="16">
        <f t="shared" si="10"/>
        <v>1800</v>
      </c>
      <c r="Q151" s="23"/>
      <c r="R151" s="23">
        <f t="shared" si="11"/>
        <v>1800</v>
      </c>
      <c r="S151" t="s">
        <v>23</v>
      </c>
      <c r="T151" t="s">
        <v>24</v>
      </c>
    </row>
    <row r="152" spans="1:20">
      <c r="A152">
        <v>1151</v>
      </c>
      <c r="B152">
        <v>2027</v>
      </c>
      <c r="C152" t="s">
        <v>70</v>
      </c>
      <c r="D152" t="s">
        <v>71</v>
      </c>
      <c r="E152" t="s">
        <v>20</v>
      </c>
      <c r="F152" t="s">
        <v>69</v>
      </c>
      <c r="G152" t="s">
        <v>26</v>
      </c>
      <c r="H152">
        <v>30</v>
      </c>
      <c r="I152">
        <v>3027</v>
      </c>
      <c r="J152" s="21">
        <v>44984</v>
      </c>
      <c r="K152" s="21" t="str">
        <f t="shared" si="8"/>
        <v>Feb</v>
      </c>
      <c r="L152">
        <f t="shared" si="9"/>
        <v>2023</v>
      </c>
      <c r="M152" s="23">
        <v>1656</v>
      </c>
      <c r="N152" s="23">
        <v>2300</v>
      </c>
      <c r="O152">
        <v>2</v>
      </c>
      <c r="P152" s="16">
        <f t="shared" si="10"/>
        <v>4600</v>
      </c>
      <c r="Q152" s="23"/>
      <c r="R152" s="23">
        <f t="shared" si="11"/>
        <v>4600</v>
      </c>
      <c r="S152" t="s">
        <v>28</v>
      </c>
      <c r="T152" t="s">
        <v>24</v>
      </c>
    </row>
    <row r="153" spans="1:20">
      <c r="A153">
        <v>1152</v>
      </c>
      <c r="B153">
        <v>2028</v>
      </c>
      <c r="C153" t="s">
        <v>72</v>
      </c>
      <c r="D153" t="s">
        <v>73</v>
      </c>
      <c r="E153" t="s">
        <v>20</v>
      </c>
      <c r="F153" t="s">
        <v>69</v>
      </c>
      <c r="G153" t="s">
        <v>31</v>
      </c>
      <c r="H153">
        <v>28</v>
      </c>
      <c r="I153">
        <v>3028</v>
      </c>
      <c r="J153" s="21">
        <v>44985</v>
      </c>
      <c r="K153" s="21" t="str">
        <f t="shared" si="8"/>
        <v>Feb</v>
      </c>
      <c r="L153">
        <f t="shared" si="9"/>
        <v>2023</v>
      </c>
      <c r="M153" s="23">
        <v>1872</v>
      </c>
      <c r="N153" s="23">
        <v>2600</v>
      </c>
      <c r="O153">
        <v>1</v>
      </c>
      <c r="P153" s="16">
        <f t="shared" si="10"/>
        <v>2600</v>
      </c>
      <c r="Q153" s="23"/>
      <c r="R153" s="23">
        <f t="shared" si="11"/>
        <v>2600</v>
      </c>
      <c r="S153" t="s">
        <v>23</v>
      </c>
      <c r="T153" t="s">
        <v>29</v>
      </c>
    </row>
    <row r="154" spans="1:20">
      <c r="A154">
        <v>1153</v>
      </c>
      <c r="B154">
        <v>2001</v>
      </c>
      <c r="C154" t="s">
        <v>22</v>
      </c>
      <c r="D154" t="s">
        <v>25</v>
      </c>
      <c r="E154" t="s">
        <v>20</v>
      </c>
      <c r="F154" t="s">
        <v>21</v>
      </c>
      <c r="G154" t="s">
        <v>26</v>
      </c>
      <c r="H154">
        <v>25</v>
      </c>
      <c r="I154">
        <v>3001</v>
      </c>
      <c r="J154" s="21">
        <v>44958</v>
      </c>
      <c r="K154" s="21" t="str">
        <f t="shared" si="8"/>
        <v>Feb</v>
      </c>
      <c r="L154">
        <f t="shared" si="9"/>
        <v>2023</v>
      </c>
      <c r="M154" s="23">
        <v>840</v>
      </c>
      <c r="N154" s="23">
        <v>1200</v>
      </c>
      <c r="O154">
        <v>2</v>
      </c>
      <c r="P154" s="16">
        <f t="shared" si="10"/>
        <v>2400</v>
      </c>
      <c r="Q154" s="23"/>
      <c r="R154" s="23">
        <f t="shared" si="11"/>
        <v>2400</v>
      </c>
      <c r="S154" t="s">
        <v>23</v>
      </c>
      <c r="T154" t="s">
        <v>24</v>
      </c>
    </row>
    <row r="155" spans="1:20">
      <c r="A155">
        <v>1154</v>
      </c>
      <c r="B155">
        <v>2002</v>
      </c>
      <c r="C155" t="s">
        <v>27</v>
      </c>
      <c r="D155" t="s">
        <v>30</v>
      </c>
      <c r="E155" t="s">
        <v>20</v>
      </c>
      <c r="F155" t="s">
        <v>21</v>
      </c>
      <c r="G155" t="s">
        <v>31</v>
      </c>
      <c r="H155">
        <v>22</v>
      </c>
      <c r="I155">
        <v>3002</v>
      </c>
      <c r="J155" s="21">
        <v>44959</v>
      </c>
      <c r="K155" s="21" t="str">
        <f t="shared" si="8"/>
        <v>Feb</v>
      </c>
      <c r="L155">
        <f t="shared" si="9"/>
        <v>2023</v>
      </c>
      <c r="M155" s="23">
        <v>1050</v>
      </c>
      <c r="N155" s="23">
        <v>1500</v>
      </c>
      <c r="O155">
        <v>1</v>
      </c>
      <c r="P155" s="16">
        <f t="shared" si="10"/>
        <v>1500</v>
      </c>
      <c r="Q155" s="23"/>
      <c r="R155" s="23">
        <f t="shared" si="11"/>
        <v>1500</v>
      </c>
      <c r="S155" t="s">
        <v>28</v>
      </c>
      <c r="T155" t="s">
        <v>29</v>
      </c>
    </row>
    <row r="156" spans="1:20">
      <c r="A156">
        <v>1155</v>
      </c>
      <c r="B156">
        <v>2003</v>
      </c>
      <c r="C156" t="s">
        <v>34</v>
      </c>
      <c r="D156" t="s">
        <v>36</v>
      </c>
      <c r="E156" t="s">
        <v>32</v>
      </c>
      <c r="F156" t="s">
        <v>33</v>
      </c>
      <c r="G156" t="s">
        <v>26</v>
      </c>
      <c r="H156">
        <v>18</v>
      </c>
      <c r="I156">
        <v>3003</v>
      </c>
      <c r="J156" s="21">
        <v>44960</v>
      </c>
      <c r="K156" s="21" t="str">
        <f t="shared" si="8"/>
        <v>Feb</v>
      </c>
      <c r="L156">
        <f t="shared" si="9"/>
        <v>2023</v>
      </c>
      <c r="M156" s="23">
        <v>1260</v>
      </c>
      <c r="N156" s="23">
        <v>1800</v>
      </c>
      <c r="O156">
        <v>3</v>
      </c>
      <c r="P156" s="16">
        <f t="shared" si="10"/>
        <v>5400</v>
      </c>
      <c r="Q156" s="23"/>
      <c r="R156" s="23">
        <f t="shared" si="11"/>
        <v>5400</v>
      </c>
      <c r="S156" t="s">
        <v>23</v>
      </c>
      <c r="T156" t="s">
        <v>35</v>
      </c>
    </row>
    <row r="157" spans="1:20">
      <c r="A157">
        <v>1156</v>
      </c>
      <c r="B157">
        <v>2001</v>
      </c>
      <c r="C157" t="s">
        <v>22</v>
      </c>
      <c r="D157" t="s">
        <v>25</v>
      </c>
      <c r="E157" t="s">
        <v>20</v>
      </c>
      <c r="F157" t="s">
        <v>21</v>
      </c>
      <c r="G157" t="s">
        <v>26</v>
      </c>
      <c r="H157">
        <v>25</v>
      </c>
      <c r="I157">
        <v>3001</v>
      </c>
      <c r="J157" s="21">
        <v>44986</v>
      </c>
      <c r="K157" s="21" t="str">
        <f t="shared" si="8"/>
        <v>Mar</v>
      </c>
      <c r="L157">
        <f t="shared" si="9"/>
        <v>2023</v>
      </c>
      <c r="M157" s="23">
        <v>840</v>
      </c>
      <c r="N157" s="23">
        <v>1200</v>
      </c>
      <c r="O157">
        <v>2</v>
      </c>
      <c r="P157" s="16">
        <f t="shared" si="10"/>
        <v>2400</v>
      </c>
      <c r="Q157" s="23"/>
      <c r="R157" s="23">
        <f t="shared" si="11"/>
        <v>2400</v>
      </c>
      <c r="S157" t="s">
        <v>23</v>
      </c>
      <c r="T157" t="s">
        <v>24</v>
      </c>
    </row>
    <row r="158" spans="1:20">
      <c r="A158">
        <v>1157</v>
      </c>
      <c r="B158">
        <v>2002</v>
      </c>
      <c r="C158" t="s">
        <v>27</v>
      </c>
      <c r="D158" t="s">
        <v>30</v>
      </c>
      <c r="E158" t="s">
        <v>20</v>
      </c>
      <c r="F158" t="s">
        <v>21</v>
      </c>
      <c r="G158" t="s">
        <v>31</v>
      </c>
      <c r="H158">
        <v>22</v>
      </c>
      <c r="I158">
        <v>3002</v>
      </c>
      <c r="J158" s="21">
        <v>44987</v>
      </c>
      <c r="K158" s="21" t="str">
        <f t="shared" si="8"/>
        <v>Mar</v>
      </c>
      <c r="L158">
        <f t="shared" si="9"/>
        <v>2023</v>
      </c>
      <c r="M158" s="23">
        <v>1050</v>
      </c>
      <c r="N158" s="23">
        <v>1500</v>
      </c>
      <c r="O158">
        <v>1</v>
      </c>
      <c r="P158" s="16">
        <f t="shared" si="10"/>
        <v>1500</v>
      </c>
      <c r="Q158" s="23"/>
      <c r="R158" s="23">
        <f t="shared" si="11"/>
        <v>1500</v>
      </c>
      <c r="S158" t="s">
        <v>28</v>
      </c>
      <c r="T158" t="s">
        <v>29</v>
      </c>
    </row>
    <row r="159" spans="1:20">
      <c r="A159">
        <v>1158</v>
      </c>
      <c r="B159">
        <v>2003</v>
      </c>
      <c r="C159" t="s">
        <v>34</v>
      </c>
      <c r="D159" t="s">
        <v>36</v>
      </c>
      <c r="E159" t="s">
        <v>32</v>
      </c>
      <c r="F159" t="s">
        <v>33</v>
      </c>
      <c r="G159" t="s">
        <v>26</v>
      </c>
      <c r="H159">
        <v>18</v>
      </c>
      <c r="I159">
        <v>3003</v>
      </c>
      <c r="J159" s="21">
        <v>44988</v>
      </c>
      <c r="K159" s="21" t="str">
        <f t="shared" si="8"/>
        <v>Mar</v>
      </c>
      <c r="L159">
        <f t="shared" si="9"/>
        <v>2023</v>
      </c>
      <c r="M159" s="23">
        <v>1260</v>
      </c>
      <c r="N159" s="23">
        <v>1800</v>
      </c>
      <c r="O159">
        <v>3</v>
      </c>
      <c r="P159" s="16">
        <f t="shared" si="10"/>
        <v>5400</v>
      </c>
      <c r="Q159" s="23"/>
      <c r="R159" s="23">
        <f t="shared" si="11"/>
        <v>5400</v>
      </c>
      <c r="S159" t="s">
        <v>23</v>
      </c>
      <c r="T159" t="s">
        <v>35</v>
      </c>
    </row>
    <row r="160" spans="1:20">
      <c r="A160">
        <v>1159</v>
      </c>
      <c r="B160">
        <v>2004</v>
      </c>
      <c r="C160" t="s">
        <v>38</v>
      </c>
      <c r="D160" t="s">
        <v>39</v>
      </c>
      <c r="E160" t="s">
        <v>32</v>
      </c>
      <c r="F160" t="s">
        <v>33</v>
      </c>
      <c r="G160" t="s">
        <v>31</v>
      </c>
      <c r="H160">
        <v>16</v>
      </c>
      <c r="I160">
        <v>3004</v>
      </c>
      <c r="J160" s="21">
        <v>44989</v>
      </c>
      <c r="K160" s="21" t="str">
        <f t="shared" si="8"/>
        <v>Mar</v>
      </c>
      <c r="L160">
        <f t="shared" si="9"/>
        <v>2023</v>
      </c>
      <c r="M160" s="23">
        <v>1470</v>
      </c>
      <c r="N160" s="23">
        <v>2100</v>
      </c>
      <c r="O160">
        <v>1</v>
      </c>
      <c r="P160" s="16">
        <f t="shared" si="10"/>
        <v>2100</v>
      </c>
      <c r="Q160" s="23"/>
      <c r="R160" s="23">
        <f t="shared" si="11"/>
        <v>2100</v>
      </c>
      <c r="S160" t="s">
        <v>23</v>
      </c>
      <c r="T160" t="s">
        <v>24</v>
      </c>
    </row>
    <row r="161" spans="1:20">
      <c r="A161">
        <v>1160</v>
      </c>
      <c r="B161">
        <v>2005</v>
      </c>
      <c r="C161" t="s">
        <v>42</v>
      </c>
      <c r="D161" t="s">
        <v>43</v>
      </c>
      <c r="E161" t="s">
        <v>40</v>
      </c>
      <c r="F161" t="s">
        <v>41</v>
      </c>
      <c r="G161" t="s">
        <v>26</v>
      </c>
      <c r="H161">
        <v>27</v>
      </c>
      <c r="I161">
        <v>3005</v>
      </c>
      <c r="J161" s="21">
        <v>44990</v>
      </c>
      <c r="K161" s="21" t="str">
        <f t="shared" si="8"/>
        <v>Mar</v>
      </c>
      <c r="L161">
        <f t="shared" si="9"/>
        <v>2023</v>
      </c>
      <c r="M161" s="23">
        <v>897</v>
      </c>
      <c r="N161" s="23">
        <v>1300</v>
      </c>
      <c r="O161">
        <v>2</v>
      </c>
      <c r="P161" s="16">
        <f t="shared" si="10"/>
        <v>2600</v>
      </c>
      <c r="Q161" s="23"/>
      <c r="R161" s="23">
        <f t="shared" si="11"/>
        <v>2600</v>
      </c>
      <c r="S161" t="s">
        <v>28</v>
      </c>
      <c r="T161" t="s">
        <v>29</v>
      </c>
    </row>
    <row r="162" spans="1:20">
      <c r="A162">
        <v>1161</v>
      </c>
      <c r="B162">
        <v>2006</v>
      </c>
      <c r="C162" t="s">
        <v>44</v>
      </c>
      <c r="D162" t="s">
        <v>45</v>
      </c>
      <c r="E162" t="s">
        <v>40</v>
      </c>
      <c r="F162" t="s">
        <v>41</v>
      </c>
      <c r="G162" t="s">
        <v>31</v>
      </c>
      <c r="H162">
        <v>24</v>
      </c>
      <c r="I162">
        <v>3006</v>
      </c>
      <c r="J162" s="21">
        <v>44991</v>
      </c>
      <c r="K162" s="21" t="str">
        <f t="shared" si="8"/>
        <v>Mar</v>
      </c>
      <c r="L162">
        <f t="shared" si="9"/>
        <v>2023</v>
      </c>
      <c r="M162" s="23">
        <v>1104</v>
      </c>
      <c r="N162" s="23">
        <v>1600</v>
      </c>
      <c r="O162">
        <v>1</v>
      </c>
      <c r="P162" s="16">
        <f t="shared" si="10"/>
        <v>1600</v>
      </c>
      <c r="Q162" s="23"/>
      <c r="R162" s="23">
        <f t="shared" si="11"/>
        <v>1600</v>
      </c>
      <c r="S162" t="s">
        <v>23</v>
      </c>
      <c r="T162" t="s">
        <v>24</v>
      </c>
    </row>
    <row r="163" spans="1:20">
      <c r="A163">
        <v>1162</v>
      </c>
      <c r="B163">
        <v>2007</v>
      </c>
      <c r="C163" t="s">
        <v>47</v>
      </c>
      <c r="D163" t="s">
        <v>48</v>
      </c>
      <c r="E163" t="s">
        <v>20</v>
      </c>
      <c r="F163" t="s">
        <v>46</v>
      </c>
      <c r="G163" t="s">
        <v>26</v>
      </c>
      <c r="H163">
        <v>29</v>
      </c>
      <c r="I163">
        <v>3007</v>
      </c>
      <c r="J163" s="21">
        <v>44992</v>
      </c>
      <c r="K163" s="21" t="str">
        <f t="shared" si="8"/>
        <v>Mar</v>
      </c>
      <c r="L163">
        <f t="shared" si="9"/>
        <v>2023</v>
      </c>
      <c r="M163" s="23">
        <v>1496</v>
      </c>
      <c r="N163" s="23">
        <v>2200</v>
      </c>
      <c r="O163">
        <v>2</v>
      </c>
      <c r="P163" s="16">
        <f t="shared" si="10"/>
        <v>4400</v>
      </c>
      <c r="Q163" s="23"/>
      <c r="R163" s="23">
        <f t="shared" si="11"/>
        <v>4400</v>
      </c>
      <c r="S163" t="s">
        <v>28</v>
      </c>
      <c r="T163" t="s">
        <v>24</v>
      </c>
    </row>
    <row r="164" spans="1:20">
      <c r="A164">
        <v>1163</v>
      </c>
      <c r="B164">
        <v>2008</v>
      </c>
      <c r="C164" t="s">
        <v>49</v>
      </c>
      <c r="D164" t="s">
        <v>50</v>
      </c>
      <c r="E164" t="s">
        <v>20</v>
      </c>
      <c r="F164" t="s">
        <v>46</v>
      </c>
      <c r="G164" t="s">
        <v>31</v>
      </c>
      <c r="H164">
        <v>27</v>
      </c>
      <c r="I164">
        <v>3008</v>
      </c>
      <c r="J164" s="21">
        <v>44993</v>
      </c>
      <c r="K164" s="21" t="str">
        <f t="shared" si="8"/>
        <v>Mar</v>
      </c>
      <c r="L164">
        <f t="shared" si="9"/>
        <v>2023</v>
      </c>
      <c r="M164" s="23">
        <v>1700</v>
      </c>
      <c r="N164" s="23">
        <v>2500</v>
      </c>
      <c r="O164">
        <v>1</v>
      </c>
      <c r="P164" s="16">
        <f t="shared" si="10"/>
        <v>2500</v>
      </c>
      <c r="Q164" s="23"/>
      <c r="R164" s="23">
        <f t="shared" si="11"/>
        <v>2500</v>
      </c>
      <c r="S164" t="s">
        <v>23</v>
      </c>
      <c r="T164" t="s">
        <v>29</v>
      </c>
    </row>
    <row r="165" spans="1:20">
      <c r="A165">
        <v>1164</v>
      </c>
      <c r="B165">
        <v>2021</v>
      </c>
      <c r="C165" t="s">
        <v>52</v>
      </c>
      <c r="D165" t="s">
        <v>53</v>
      </c>
      <c r="E165" t="s">
        <v>20</v>
      </c>
      <c r="F165" t="s">
        <v>51</v>
      </c>
      <c r="G165" t="s">
        <v>26</v>
      </c>
      <c r="H165">
        <v>24</v>
      </c>
      <c r="I165">
        <v>3021</v>
      </c>
      <c r="J165" s="21">
        <v>45006</v>
      </c>
      <c r="K165" s="21" t="str">
        <f t="shared" si="8"/>
        <v>Mar</v>
      </c>
      <c r="L165">
        <f t="shared" si="9"/>
        <v>2023</v>
      </c>
      <c r="M165" s="23">
        <v>737</v>
      </c>
      <c r="N165" s="23">
        <v>1100</v>
      </c>
      <c r="O165">
        <v>2</v>
      </c>
      <c r="P165" s="16">
        <f t="shared" si="10"/>
        <v>2200</v>
      </c>
      <c r="Q165" s="23"/>
      <c r="R165" s="23">
        <f t="shared" si="11"/>
        <v>2200</v>
      </c>
      <c r="S165" t="s">
        <v>23</v>
      </c>
      <c r="T165" t="s">
        <v>24</v>
      </c>
    </row>
    <row r="166" spans="1:20">
      <c r="A166">
        <v>1165</v>
      </c>
      <c r="B166">
        <v>2022</v>
      </c>
      <c r="C166" t="s">
        <v>54</v>
      </c>
      <c r="D166" t="s">
        <v>55</v>
      </c>
      <c r="E166" t="s">
        <v>20</v>
      </c>
      <c r="F166" t="s">
        <v>51</v>
      </c>
      <c r="G166" t="s">
        <v>31</v>
      </c>
      <c r="H166">
        <v>21</v>
      </c>
      <c r="I166">
        <v>3022</v>
      </c>
      <c r="J166" s="21">
        <v>45007</v>
      </c>
      <c r="K166" s="21" t="str">
        <f t="shared" si="8"/>
        <v>Mar</v>
      </c>
      <c r="L166">
        <f t="shared" si="9"/>
        <v>2023</v>
      </c>
      <c r="M166" s="23">
        <v>938</v>
      </c>
      <c r="N166" s="23">
        <v>1400</v>
      </c>
      <c r="O166">
        <v>1</v>
      </c>
      <c r="P166" s="16">
        <f t="shared" si="10"/>
        <v>1400</v>
      </c>
      <c r="Q166" s="23"/>
      <c r="R166" s="23">
        <f t="shared" si="11"/>
        <v>1400</v>
      </c>
      <c r="S166" t="s">
        <v>28</v>
      </c>
      <c r="T166" t="s">
        <v>29</v>
      </c>
    </row>
    <row r="167" spans="1:20">
      <c r="A167">
        <v>1166</v>
      </c>
      <c r="B167">
        <v>2023</v>
      </c>
      <c r="C167" t="s">
        <v>58</v>
      </c>
      <c r="D167" t="s">
        <v>59</v>
      </c>
      <c r="E167" t="s">
        <v>32</v>
      </c>
      <c r="F167" t="s">
        <v>57</v>
      </c>
      <c r="G167" t="s">
        <v>26</v>
      </c>
      <c r="H167">
        <v>20</v>
      </c>
      <c r="I167">
        <v>3023</v>
      </c>
      <c r="J167" s="21">
        <v>45008</v>
      </c>
      <c r="K167" s="21" t="str">
        <f t="shared" si="8"/>
        <v>Mar</v>
      </c>
      <c r="L167">
        <f t="shared" si="9"/>
        <v>2023</v>
      </c>
      <c r="M167" s="23">
        <v>1190</v>
      </c>
      <c r="N167" s="23">
        <v>1700</v>
      </c>
      <c r="O167">
        <v>3</v>
      </c>
      <c r="P167" s="16">
        <f t="shared" si="10"/>
        <v>5100</v>
      </c>
      <c r="Q167" s="23"/>
      <c r="R167" s="23">
        <f t="shared" si="11"/>
        <v>5100</v>
      </c>
      <c r="S167" t="s">
        <v>23</v>
      </c>
      <c r="T167" t="s">
        <v>35</v>
      </c>
    </row>
    <row r="168" spans="1:20">
      <c r="A168">
        <v>1167</v>
      </c>
      <c r="B168">
        <v>2024</v>
      </c>
      <c r="C168" t="s">
        <v>61</v>
      </c>
      <c r="D168" t="s">
        <v>62</v>
      </c>
      <c r="E168" t="s">
        <v>32</v>
      </c>
      <c r="F168" t="s">
        <v>57</v>
      </c>
      <c r="G168" t="s">
        <v>31</v>
      </c>
      <c r="H168">
        <v>18</v>
      </c>
      <c r="I168">
        <v>3024</v>
      </c>
      <c r="J168" s="21">
        <v>45009</v>
      </c>
      <c r="K168" s="21" t="str">
        <f t="shared" si="8"/>
        <v>Mar</v>
      </c>
      <c r="L168">
        <f t="shared" si="9"/>
        <v>2023</v>
      </c>
      <c r="M168" s="23">
        <v>1400</v>
      </c>
      <c r="N168" s="23">
        <v>2000</v>
      </c>
      <c r="O168">
        <v>1</v>
      </c>
      <c r="P168" s="16">
        <f t="shared" si="10"/>
        <v>2000</v>
      </c>
      <c r="Q168" s="23"/>
      <c r="R168" s="23">
        <f t="shared" si="11"/>
        <v>2000</v>
      </c>
      <c r="S168" t="s">
        <v>23</v>
      </c>
      <c r="T168" t="s">
        <v>24</v>
      </c>
    </row>
    <row r="169" spans="1:20">
      <c r="A169">
        <v>1168</v>
      </c>
      <c r="B169">
        <v>2025</v>
      </c>
      <c r="C169" t="s">
        <v>65</v>
      </c>
      <c r="D169" t="s">
        <v>66</v>
      </c>
      <c r="E169" t="s">
        <v>40</v>
      </c>
      <c r="F169" t="s">
        <v>64</v>
      </c>
      <c r="G169" t="s">
        <v>26</v>
      </c>
      <c r="H169">
        <v>28</v>
      </c>
      <c r="I169">
        <v>3025</v>
      </c>
      <c r="J169" s="21">
        <v>45010</v>
      </c>
      <c r="K169" s="21" t="str">
        <f t="shared" si="8"/>
        <v>Mar</v>
      </c>
      <c r="L169">
        <f t="shared" si="9"/>
        <v>2023</v>
      </c>
      <c r="M169" s="23">
        <v>975</v>
      </c>
      <c r="N169" s="23">
        <v>1500</v>
      </c>
      <c r="O169">
        <v>2</v>
      </c>
      <c r="P169" s="16">
        <f t="shared" si="10"/>
        <v>3000</v>
      </c>
      <c r="Q169" s="23"/>
      <c r="R169" s="23">
        <f t="shared" si="11"/>
        <v>3000</v>
      </c>
      <c r="S169" t="s">
        <v>28</v>
      </c>
      <c r="T169" t="s">
        <v>29</v>
      </c>
    </row>
    <row r="170" spans="1:20">
      <c r="A170">
        <v>1169</v>
      </c>
      <c r="B170">
        <v>2026</v>
      </c>
      <c r="C170" t="s">
        <v>67</v>
      </c>
      <c r="D170" t="s">
        <v>68</v>
      </c>
      <c r="E170" t="s">
        <v>40</v>
      </c>
      <c r="F170" t="s">
        <v>64</v>
      </c>
      <c r="G170" t="s">
        <v>31</v>
      </c>
      <c r="H170">
        <v>26</v>
      </c>
      <c r="I170">
        <v>3026</v>
      </c>
      <c r="J170" s="21">
        <v>45011</v>
      </c>
      <c r="K170" s="21" t="str">
        <f t="shared" si="8"/>
        <v>Mar</v>
      </c>
      <c r="L170">
        <f t="shared" si="9"/>
        <v>2023</v>
      </c>
      <c r="M170" s="23">
        <v>1170</v>
      </c>
      <c r="N170" s="23">
        <v>1800</v>
      </c>
      <c r="O170">
        <v>1</v>
      </c>
      <c r="P170" s="16">
        <f t="shared" si="10"/>
        <v>1800</v>
      </c>
      <c r="Q170" s="23"/>
      <c r="R170" s="23">
        <f t="shared" si="11"/>
        <v>1800</v>
      </c>
      <c r="S170" t="s">
        <v>23</v>
      </c>
      <c r="T170" t="s">
        <v>24</v>
      </c>
    </row>
    <row r="171" spans="1:20">
      <c r="A171">
        <v>1170</v>
      </c>
      <c r="B171">
        <v>2027</v>
      </c>
      <c r="C171" t="s">
        <v>70</v>
      </c>
      <c r="D171" t="s">
        <v>71</v>
      </c>
      <c r="E171" t="s">
        <v>20</v>
      </c>
      <c r="F171" t="s">
        <v>69</v>
      </c>
      <c r="G171" t="s">
        <v>26</v>
      </c>
      <c r="H171">
        <v>30</v>
      </c>
      <c r="I171">
        <v>3027</v>
      </c>
      <c r="J171" s="21">
        <v>45012</v>
      </c>
      <c r="K171" s="21" t="str">
        <f t="shared" si="8"/>
        <v>Mar</v>
      </c>
      <c r="L171">
        <f t="shared" si="9"/>
        <v>2023</v>
      </c>
      <c r="M171" s="23">
        <v>1656</v>
      </c>
      <c r="N171" s="23">
        <v>2300</v>
      </c>
      <c r="O171">
        <v>2</v>
      </c>
      <c r="P171" s="16">
        <f t="shared" si="10"/>
        <v>4600</v>
      </c>
      <c r="Q171" s="23"/>
      <c r="R171" s="23">
        <f t="shared" si="11"/>
        <v>4600</v>
      </c>
      <c r="S171" t="s">
        <v>28</v>
      </c>
      <c r="T171" t="s">
        <v>24</v>
      </c>
    </row>
    <row r="172" spans="1:20">
      <c r="A172">
        <v>1171</v>
      </c>
      <c r="B172">
        <v>2028</v>
      </c>
      <c r="C172" t="s">
        <v>72</v>
      </c>
      <c r="D172" t="s">
        <v>73</v>
      </c>
      <c r="E172" t="s">
        <v>20</v>
      </c>
      <c r="F172" t="s">
        <v>69</v>
      </c>
      <c r="G172" t="s">
        <v>31</v>
      </c>
      <c r="H172">
        <v>28</v>
      </c>
      <c r="I172">
        <v>3028</v>
      </c>
      <c r="J172" s="21">
        <v>45013</v>
      </c>
      <c r="K172" s="21" t="str">
        <f t="shared" si="8"/>
        <v>Mar</v>
      </c>
      <c r="L172">
        <f t="shared" si="9"/>
        <v>2023</v>
      </c>
      <c r="M172" s="23">
        <v>1872</v>
      </c>
      <c r="N172" s="23">
        <v>2600</v>
      </c>
      <c r="O172">
        <v>1</v>
      </c>
      <c r="P172" s="16">
        <f t="shared" si="10"/>
        <v>2600</v>
      </c>
      <c r="Q172" s="23"/>
      <c r="R172" s="23">
        <f t="shared" si="11"/>
        <v>2600</v>
      </c>
      <c r="S172" t="s">
        <v>23</v>
      </c>
      <c r="T172" t="s">
        <v>29</v>
      </c>
    </row>
    <row r="173" spans="1:20">
      <c r="A173">
        <v>1172</v>
      </c>
      <c r="B173">
        <v>2041</v>
      </c>
      <c r="C173" t="s">
        <v>75</v>
      </c>
      <c r="D173" t="s">
        <v>76</v>
      </c>
      <c r="E173" t="s">
        <v>20</v>
      </c>
      <c r="F173" t="s">
        <v>74</v>
      </c>
      <c r="G173" t="s">
        <v>26</v>
      </c>
      <c r="H173">
        <v>32</v>
      </c>
      <c r="I173">
        <v>3041</v>
      </c>
      <c r="J173" s="21">
        <v>44996</v>
      </c>
      <c r="K173" s="21" t="str">
        <f t="shared" si="8"/>
        <v>Mar</v>
      </c>
      <c r="L173">
        <f t="shared" si="9"/>
        <v>2023</v>
      </c>
      <c r="M173" s="23">
        <v>780</v>
      </c>
      <c r="N173" s="23">
        <v>1300</v>
      </c>
      <c r="O173">
        <v>2</v>
      </c>
      <c r="P173" s="16">
        <f t="shared" si="10"/>
        <v>2600</v>
      </c>
      <c r="Q173" s="23"/>
      <c r="R173" s="23">
        <f t="shared" si="11"/>
        <v>2600</v>
      </c>
      <c r="S173" t="s">
        <v>23</v>
      </c>
      <c r="T173" t="s">
        <v>24</v>
      </c>
    </row>
    <row r="174" spans="1:20">
      <c r="A174">
        <v>1173</v>
      </c>
      <c r="B174">
        <v>2042</v>
      </c>
      <c r="C174" t="s">
        <v>77</v>
      </c>
      <c r="D174" t="s">
        <v>78</v>
      </c>
      <c r="E174" t="s">
        <v>20</v>
      </c>
      <c r="F174" t="s">
        <v>74</v>
      </c>
      <c r="G174" t="s">
        <v>31</v>
      </c>
      <c r="H174">
        <v>29</v>
      </c>
      <c r="I174">
        <v>3042</v>
      </c>
      <c r="J174" s="21">
        <v>44997</v>
      </c>
      <c r="K174" s="21" t="str">
        <f t="shared" si="8"/>
        <v>Mar</v>
      </c>
      <c r="L174">
        <f t="shared" si="9"/>
        <v>2023</v>
      </c>
      <c r="M174" s="23">
        <v>960</v>
      </c>
      <c r="N174" s="23">
        <v>1600</v>
      </c>
      <c r="O174">
        <v>1</v>
      </c>
      <c r="P174" s="16">
        <f t="shared" si="10"/>
        <v>1600</v>
      </c>
      <c r="Q174" s="23"/>
      <c r="R174" s="23">
        <f t="shared" si="11"/>
        <v>1600</v>
      </c>
      <c r="S174" t="s">
        <v>28</v>
      </c>
      <c r="T174" t="s">
        <v>29</v>
      </c>
    </row>
    <row r="175" spans="1:20">
      <c r="A175">
        <v>1174</v>
      </c>
      <c r="B175">
        <v>2043</v>
      </c>
      <c r="C175" t="s">
        <v>80</v>
      </c>
      <c r="D175" t="s">
        <v>81</v>
      </c>
      <c r="E175" t="s">
        <v>32</v>
      </c>
      <c r="F175" t="s">
        <v>79</v>
      </c>
      <c r="G175" t="s">
        <v>26</v>
      </c>
      <c r="H175">
        <v>21</v>
      </c>
      <c r="I175">
        <v>3043</v>
      </c>
      <c r="J175" s="21">
        <v>44998</v>
      </c>
      <c r="K175" s="21" t="str">
        <f t="shared" si="8"/>
        <v>Mar</v>
      </c>
      <c r="L175">
        <f t="shared" si="9"/>
        <v>2023</v>
      </c>
      <c r="M175" s="23">
        <v>1292</v>
      </c>
      <c r="N175" s="23">
        <v>1900</v>
      </c>
      <c r="O175">
        <v>3</v>
      </c>
      <c r="P175" s="16">
        <f t="shared" si="10"/>
        <v>5700</v>
      </c>
      <c r="Q175" s="23"/>
      <c r="R175" s="23">
        <f t="shared" si="11"/>
        <v>5700</v>
      </c>
      <c r="S175" t="s">
        <v>23</v>
      </c>
      <c r="T175" t="s">
        <v>35</v>
      </c>
    </row>
    <row r="176" spans="1:20">
      <c r="A176">
        <v>1175</v>
      </c>
      <c r="B176">
        <v>2044</v>
      </c>
      <c r="C176" t="s">
        <v>82</v>
      </c>
      <c r="D176" t="s">
        <v>83</v>
      </c>
      <c r="E176" t="s">
        <v>32</v>
      </c>
      <c r="F176" t="s">
        <v>79</v>
      </c>
      <c r="G176" t="s">
        <v>31</v>
      </c>
      <c r="H176">
        <v>19</v>
      </c>
      <c r="I176">
        <v>3044</v>
      </c>
      <c r="J176" s="21">
        <v>44999</v>
      </c>
      <c r="K176" s="21" t="str">
        <f t="shared" si="8"/>
        <v>Mar</v>
      </c>
      <c r="L176">
        <f t="shared" si="9"/>
        <v>2023</v>
      </c>
      <c r="M176" s="23">
        <v>1496</v>
      </c>
      <c r="N176" s="23">
        <v>2200</v>
      </c>
      <c r="O176">
        <v>1</v>
      </c>
      <c r="P176" s="16">
        <f t="shared" si="10"/>
        <v>2200</v>
      </c>
      <c r="Q176" s="23"/>
      <c r="R176" s="23">
        <f t="shared" si="11"/>
        <v>2200</v>
      </c>
      <c r="S176" t="s">
        <v>23</v>
      </c>
      <c r="T176" t="s">
        <v>24</v>
      </c>
    </row>
    <row r="177" spans="1:20">
      <c r="A177">
        <v>1176</v>
      </c>
      <c r="B177">
        <v>2043</v>
      </c>
      <c r="C177" t="s">
        <v>80</v>
      </c>
      <c r="D177" t="s">
        <v>81</v>
      </c>
      <c r="E177" t="s">
        <v>32</v>
      </c>
      <c r="F177" t="s">
        <v>79</v>
      </c>
      <c r="G177" t="s">
        <v>26</v>
      </c>
      <c r="H177">
        <v>21</v>
      </c>
      <c r="I177">
        <v>3043</v>
      </c>
      <c r="J177" s="21">
        <v>44605</v>
      </c>
      <c r="K177" s="21" t="str">
        <f t="shared" si="8"/>
        <v>Feb</v>
      </c>
      <c r="L177">
        <f t="shared" si="9"/>
        <v>2022</v>
      </c>
      <c r="M177" s="23">
        <v>1292</v>
      </c>
      <c r="N177" s="23">
        <v>1900</v>
      </c>
      <c r="O177">
        <v>3</v>
      </c>
      <c r="P177" s="16">
        <f t="shared" si="10"/>
        <v>5700</v>
      </c>
      <c r="Q177" s="23"/>
      <c r="R177" s="23">
        <f t="shared" si="11"/>
        <v>5700</v>
      </c>
      <c r="S177" t="s">
        <v>23</v>
      </c>
      <c r="T177" t="s">
        <v>35</v>
      </c>
    </row>
    <row r="178" spans="1:20">
      <c r="A178">
        <v>1177</v>
      </c>
      <c r="B178">
        <v>2044</v>
      </c>
      <c r="C178" t="s">
        <v>82</v>
      </c>
      <c r="D178" t="s">
        <v>83</v>
      </c>
      <c r="E178" t="s">
        <v>32</v>
      </c>
      <c r="F178" t="s">
        <v>79</v>
      </c>
      <c r="G178" t="s">
        <v>31</v>
      </c>
      <c r="H178">
        <v>19</v>
      </c>
      <c r="I178">
        <v>3044</v>
      </c>
      <c r="J178" s="21">
        <v>44606</v>
      </c>
      <c r="K178" s="21" t="str">
        <f t="shared" si="8"/>
        <v>Feb</v>
      </c>
      <c r="L178">
        <f t="shared" si="9"/>
        <v>2022</v>
      </c>
      <c r="M178" s="23">
        <v>1496</v>
      </c>
      <c r="N178" s="23">
        <v>2200</v>
      </c>
      <c r="O178">
        <v>1</v>
      </c>
      <c r="P178" s="16">
        <f t="shared" si="10"/>
        <v>2200</v>
      </c>
      <c r="Q178" s="23"/>
      <c r="R178" s="23">
        <f t="shared" si="11"/>
        <v>2200</v>
      </c>
      <c r="S178" t="s">
        <v>23</v>
      </c>
      <c r="T178" t="s">
        <v>24</v>
      </c>
    </row>
    <row r="179" spans="1:20">
      <c r="A179">
        <v>1178</v>
      </c>
      <c r="B179">
        <v>2045</v>
      </c>
      <c r="C179" t="s">
        <v>85</v>
      </c>
      <c r="D179" t="s">
        <v>86</v>
      </c>
      <c r="E179" t="s">
        <v>40</v>
      </c>
      <c r="F179" t="s">
        <v>84</v>
      </c>
      <c r="G179" t="s">
        <v>26</v>
      </c>
      <c r="H179">
        <v>36</v>
      </c>
      <c r="I179">
        <v>3045</v>
      </c>
      <c r="J179" s="21">
        <v>44607</v>
      </c>
      <c r="K179" s="21" t="str">
        <f t="shared" si="8"/>
        <v>Feb</v>
      </c>
      <c r="L179">
        <f t="shared" si="9"/>
        <v>2022</v>
      </c>
      <c r="M179" s="23">
        <v>1340</v>
      </c>
      <c r="N179" s="23">
        <v>2000</v>
      </c>
      <c r="O179">
        <v>2</v>
      </c>
      <c r="P179" s="16">
        <f t="shared" si="10"/>
        <v>4000</v>
      </c>
      <c r="Q179" s="23"/>
      <c r="R179" s="23">
        <f t="shared" si="11"/>
        <v>4000</v>
      </c>
      <c r="S179" t="s">
        <v>28</v>
      </c>
      <c r="T179" t="s">
        <v>29</v>
      </c>
    </row>
    <row r="180" spans="1:20">
      <c r="A180">
        <v>1179</v>
      </c>
      <c r="B180">
        <v>2046</v>
      </c>
      <c r="C180" t="s">
        <v>87</v>
      </c>
      <c r="D180" t="s">
        <v>88</v>
      </c>
      <c r="E180" t="s">
        <v>40</v>
      </c>
      <c r="F180" t="s">
        <v>84</v>
      </c>
      <c r="G180" t="s">
        <v>31</v>
      </c>
      <c r="H180">
        <v>34</v>
      </c>
      <c r="I180">
        <v>3046</v>
      </c>
      <c r="J180" s="21">
        <v>44608</v>
      </c>
      <c r="K180" s="21" t="str">
        <f t="shared" si="8"/>
        <v>Feb</v>
      </c>
      <c r="L180">
        <f t="shared" si="9"/>
        <v>2022</v>
      </c>
      <c r="M180" s="23">
        <v>1541</v>
      </c>
      <c r="N180" s="23">
        <v>2300</v>
      </c>
      <c r="O180">
        <v>1</v>
      </c>
      <c r="P180" s="16">
        <f t="shared" si="10"/>
        <v>2300</v>
      </c>
      <c r="Q180" s="23"/>
      <c r="R180" s="23">
        <f t="shared" si="11"/>
        <v>2300</v>
      </c>
      <c r="S180" t="s">
        <v>23</v>
      </c>
      <c r="T180" t="s">
        <v>24</v>
      </c>
    </row>
    <row r="181" spans="1:20">
      <c r="A181">
        <v>1180</v>
      </c>
      <c r="B181">
        <v>2047</v>
      </c>
      <c r="C181" t="s">
        <v>90</v>
      </c>
      <c r="D181" t="s">
        <v>91</v>
      </c>
      <c r="E181" t="s">
        <v>20</v>
      </c>
      <c r="F181" t="s">
        <v>89</v>
      </c>
      <c r="G181" t="s">
        <v>26</v>
      </c>
      <c r="H181">
        <v>40</v>
      </c>
      <c r="I181">
        <v>3047</v>
      </c>
      <c r="J181" s="21">
        <v>44609</v>
      </c>
      <c r="K181" s="21" t="str">
        <f t="shared" si="8"/>
        <v>Feb</v>
      </c>
      <c r="L181">
        <f t="shared" si="9"/>
        <v>2022</v>
      </c>
      <c r="M181" s="23">
        <v>2250</v>
      </c>
      <c r="N181" s="23">
        <v>3000</v>
      </c>
      <c r="O181">
        <v>2</v>
      </c>
      <c r="P181" s="16">
        <f t="shared" si="10"/>
        <v>6000</v>
      </c>
      <c r="Q181" s="23"/>
      <c r="R181" s="23">
        <f t="shared" si="11"/>
        <v>6000</v>
      </c>
      <c r="S181" t="s">
        <v>28</v>
      </c>
      <c r="T181" t="s">
        <v>24</v>
      </c>
    </row>
    <row r="182" spans="1:20">
      <c r="A182">
        <v>1181</v>
      </c>
      <c r="B182">
        <v>2048</v>
      </c>
      <c r="C182" t="s">
        <v>92</v>
      </c>
      <c r="D182" t="s">
        <v>93</v>
      </c>
      <c r="E182" t="s">
        <v>20</v>
      </c>
      <c r="F182" t="s">
        <v>89</v>
      </c>
      <c r="G182" t="s">
        <v>31</v>
      </c>
      <c r="H182">
        <v>38</v>
      </c>
      <c r="I182">
        <v>3048</v>
      </c>
      <c r="J182" s="21">
        <v>44610</v>
      </c>
      <c r="K182" s="21" t="str">
        <f t="shared" si="8"/>
        <v>Feb</v>
      </c>
      <c r="L182">
        <f t="shared" si="9"/>
        <v>2022</v>
      </c>
      <c r="M182" s="23">
        <v>2625</v>
      </c>
      <c r="N182" s="23">
        <v>3500</v>
      </c>
      <c r="O182">
        <v>1</v>
      </c>
      <c r="P182" s="16">
        <f t="shared" si="10"/>
        <v>3500</v>
      </c>
      <c r="Q182" s="23"/>
      <c r="R182" s="23">
        <f t="shared" si="11"/>
        <v>3500</v>
      </c>
      <c r="S182" t="s">
        <v>23</v>
      </c>
      <c r="T182" t="s">
        <v>29</v>
      </c>
    </row>
    <row r="183" spans="1:20">
      <c r="A183">
        <v>1182</v>
      </c>
      <c r="B183">
        <v>2061</v>
      </c>
      <c r="C183" t="s">
        <v>96</v>
      </c>
      <c r="D183" t="s">
        <v>97</v>
      </c>
      <c r="E183" t="s">
        <v>94</v>
      </c>
      <c r="F183" t="s">
        <v>95</v>
      </c>
      <c r="G183" t="s">
        <v>26</v>
      </c>
      <c r="H183">
        <v>35</v>
      </c>
      <c r="I183">
        <v>3061</v>
      </c>
      <c r="J183" s="21">
        <v>44593</v>
      </c>
      <c r="K183" s="21" t="str">
        <f t="shared" si="8"/>
        <v>Feb</v>
      </c>
      <c r="L183">
        <f t="shared" si="9"/>
        <v>2022</v>
      </c>
      <c r="M183" s="23">
        <v>1460</v>
      </c>
      <c r="N183" s="23">
        <v>2000</v>
      </c>
      <c r="O183">
        <v>2</v>
      </c>
      <c r="P183" s="16">
        <f t="shared" si="10"/>
        <v>4000</v>
      </c>
      <c r="Q183" s="23"/>
      <c r="R183" s="23">
        <f t="shared" si="11"/>
        <v>4000</v>
      </c>
      <c r="S183" t="s">
        <v>23</v>
      </c>
      <c r="T183" t="s">
        <v>24</v>
      </c>
    </row>
    <row r="184" spans="1:20">
      <c r="A184">
        <v>1183</v>
      </c>
      <c r="B184">
        <v>2062</v>
      </c>
      <c r="C184" t="s">
        <v>98</v>
      </c>
      <c r="D184" t="s">
        <v>99</v>
      </c>
      <c r="E184" t="s">
        <v>94</v>
      </c>
      <c r="F184" t="s">
        <v>95</v>
      </c>
      <c r="G184" t="s">
        <v>31</v>
      </c>
      <c r="H184">
        <v>33</v>
      </c>
      <c r="I184">
        <v>3062</v>
      </c>
      <c r="J184" s="21">
        <v>44594</v>
      </c>
      <c r="K184" s="21" t="str">
        <f t="shared" si="8"/>
        <v>Feb</v>
      </c>
      <c r="L184">
        <f t="shared" si="9"/>
        <v>2022</v>
      </c>
      <c r="M184" s="23">
        <v>1825</v>
      </c>
      <c r="N184" s="23">
        <v>2500</v>
      </c>
      <c r="O184">
        <v>1</v>
      </c>
      <c r="P184" s="16">
        <f t="shared" si="10"/>
        <v>2500</v>
      </c>
      <c r="Q184" s="23"/>
      <c r="R184" s="23">
        <f t="shared" si="11"/>
        <v>2500</v>
      </c>
      <c r="S184" t="s">
        <v>28</v>
      </c>
      <c r="T184" t="s">
        <v>29</v>
      </c>
    </row>
    <row r="185" spans="1:20">
      <c r="A185">
        <v>1184</v>
      </c>
      <c r="B185">
        <v>2063</v>
      </c>
      <c r="C185" t="s">
        <v>101</v>
      </c>
      <c r="D185" t="s">
        <v>102</v>
      </c>
      <c r="E185" t="s">
        <v>32</v>
      </c>
      <c r="F185" t="s">
        <v>100</v>
      </c>
      <c r="G185" t="s">
        <v>26</v>
      </c>
      <c r="H185">
        <v>22</v>
      </c>
      <c r="I185">
        <v>3063</v>
      </c>
      <c r="J185" s="21">
        <v>44595</v>
      </c>
      <c r="K185" s="21" t="str">
        <f t="shared" si="8"/>
        <v>Feb</v>
      </c>
      <c r="L185">
        <f t="shared" si="9"/>
        <v>2022</v>
      </c>
      <c r="M185" s="23">
        <v>1105</v>
      </c>
      <c r="N185" s="23">
        <v>1700</v>
      </c>
      <c r="O185">
        <v>3</v>
      </c>
      <c r="P185" s="16">
        <f t="shared" si="10"/>
        <v>5100</v>
      </c>
      <c r="Q185" s="23"/>
      <c r="R185" s="23">
        <f t="shared" si="11"/>
        <v>5100</v>
      </c>
      <c r="S185" t="s">
        <v>23</v>
      </c>
      <c r="T185" t="s">
        <v>35</v>
      </c>
    </row>
    <row r="186" spans="1:20">
      <c r="A186">
        <v>1185</v>
      </c>
      <c r="B186">
        <v>2064</v>
      </c>
      <c r="C186" t="s">
        <v>103</v>
      </c>
      <c r="D186" t="s">
        <v>104</v>
      </c>
      <c r="E186" t="s">
        <v>32</v>
      </c>
      <c r="F186" t="s">
        <v>100</v>
      </c>
      <c r="G186" t="s">
        <v>31</v>
      </c>
      <c r="H186">
        <v>20</v>
      </c>
      <c r="I186">
        <v>3064</v>
      </c>
      <c r="J186" s="21">
        <v>44596</v>
      </c>
      <c r="K186" s="21" t="str">
        <f t="shared" si="8"/>
        <v>Feb</v>
      </c>
      <c r="L186">
        <f t="shared" si="9"/>
        <v>2022</v>
      </c>
      <c r="M186" s="23">
        <v>1365</v>
      </c>
      <c r="N186" s="23">
        <v>2100</v>
      </c>
      <c r="O186">
        <v>1</v>
      </c>
      <c r="P186" s="16">
        <f t="shared" si="10"/>
        <v>2100</v>
      </c>
      <c r="Q186" s="23"/>
      <c r="R186" s="23">
        <f t="shared" si="11"/>
        <v>2100</v>
      </c>
      <c r="S186" t="s">
        <v>23</v>
      </c>
      <c r="T186" t="s">
        <v>24</v>
      </c>
    </row>
    <row r="187" spans="1:20">
      <c r="A187">
        <v>1186</v>
      </c>
      <c r="B187">
        <v>2065</v>
      </c>
      <c r="C187" t="s">
        <v>106</v>
      </c>
      <c r="D187" t="s">
        <v>107</v>
      </c>
      <c r="E187" t="s">
        <v>40</v>
      </c>
      <c r="F187" t="s">
        <v>105</v>
      </c>
      <c r="G187" t="s">
        <v>26</v>
      </c>
      <c r="H187">
        <v>30</v>
      </c>
      <c r="I187">
        <v>3065</v>
      </c>
      <c r="J187" s="21">
        <v>44597</v>
      </c>
      <c r="K187" s="21" t="str">
        <f t="shared" si="8"/>
        <v>Feb</v>
      </c>
      <c r="L187">
        <f t="shared" si="9"/>
        <v>2022</v>
      </c>
      <c r="M187" s="23">
        <v>1035</v>
      </c>
      <c r="N187" s="23">
        <v>1500</v>
      </c>
      <c r="O187">
        <v>2</v>
      </c>
      <c r="P187" s="16">
        <f t="shared" si="10"/>
        <v>3000</v>
      </c>
      <c r="Q187" s="23"/>
      <c r="R187" s="23">
        <f t="shared" si="11"/>
        <v>3000</v>
      </c>
      <c r="S187" t="s">
        <v>28</v>
      </c>
      <c r="T187" t="s">
        <v>29</v>
      </c>
    </row>
    <row r="188" spans="1:20">
      <c r="A188">
        <v>1187</v>
      </c>
      <c r="B188">
        <v>2066</v>
      </c>
      <c r="C188" t="s">
        <v>108</v>
      </c>
      <c r="D188" t="s">
        <v>109</v>
      </c>
      <c r="E188" t="s">
        <v>40</v>
      </c>
      <c r="F188" t="s">
        <v>105</v>
      </c>
      <c r="G188" t="s">
        <v>31</v>
      </c>
      <c r="H188">
        <v>28</v>
      </c>
      <c r="I188">
        <v>3066</v>
      </c>
      <c r="J188" s="21">
        <v>44598</v>
      </c>
      <c r="K188" s="21" t="str">
        <f t="shared" si="8"/>
        <v>Feb</v>
      </c>
      <c r="L188">
        <f t="shared" si="9"/>
        <v>2022</v>
      </c>
      <c r="M188" s="23">
        <v>1242</v>
      </c>
      <c r="N188" s="23">
        <v>1800</v>
      </c>
      <c r="O188">
        <v>1</v>
      </c>
      <c r="P188" s="16">
        <f t="shared" si="10"/>
        <v>1800</v>
      </c>
      <c r="Q188" s="23"/>
      <c r="R188" s="23">
        <f t="shared" si="11"/>
        <v>1800</v>
      </c>
      <c r="S188" t="s">
        <v>23</v>
      </c>
      <c r="T188" t="s">
        <v>24</v>
      </c>
    </row>
    <row r="189" spans="1:20">
      <c r="A189">
        <v>1188</v>
      </c>
      <c r="B189">
        <v>2067</v>
      </c>
      <c r="C189" t="s">
        <v>111</v>
      </c>
      <c r="D189" t="s">
        <v>91</v>
      </c>
      <c r="E189" t="s">
        <v>94</v>
      </c>
      <c r="F189" t="s">
        <v>110</v>
      </c>
      <c r="G189" t="s">
        <v>26</v>
      </c>
      <c r="H189">
        <v>42</v>
      </c>
      <c r="I189">
        <v>3067</v>
      </c>
      <c r="J189" s="21">
        <v>44599</v>
      </c>
      <c r="K189" s="21" t="str">
        <f t="shared" si="8"/>
        <v>Feb</v>
      </c>
      <c r="L189">
        <f t="shared" si="9"/>
        <v>2022</v>
      </c>
      <c r="M189" s="23">
        <v>2080</v>
      </c>
      <c r="N189" s="23">
        <v>3200</v>
      </c>
      <c r="O189">
        <v>2</v>
      </c>
      <c r="P189" s="16">
        <f t="shared" si="10"/>
        <v>6400</v>
      </c>
      <c r="Q189" s="23"/>
      <c r="R189" s="23">
        <f t="shared" si="11"/>
        <v>6400</v>
      </c>
      <c r="S189" t="s">
        <v>28</v>
      </c>
      <c r="T189" t="s">
        <v>24</v>
      </c>
    </row>
    <row r="190" spans="1:20">
      <c r="A190">
        <v>1189</v>
      </c>
      <c r="B190">
        <v>2068</v>
      </c>
      <c r="C190" t="s">
        <v>112</v>
      </c>
      <c r="D190" t="s">
        <v>93</v>
      </c>
      <c r="E190" t="s">
        <v>94</v>
      </c>
      <c r="F190" t="s">
        <v>110</v>
      </c>
      <c r="G190" t="s">
        <v>31</v>
      </c>
      <c r="H190">
        <v>40</v>
      </c>
      <c r="I190">
        <v>3068</v>
      </c>
      <c r="J190" s="21">
        <v>44600</v>
      </c>
      <c r="K190" s="21" t="str">
        <f t="shared" si="8"/>
        <v>Feb</v>
      </c>
      <c r="L190">
        <f t="shared" si="9"/>
        <v>2022</v>
      </c>
      <c r="M190" s="23">
        <v>2405</v>
      </c>
      <c r="N190" s="23">
        <v>3700</v>
      </c>
      <c r="O190">
        <v>1</v>
      </c>
      <c r="P190" s="16">
        <f t="shared" si="10"/>
        <v>3700</v>
      </c>
      <c r="Q190" s="23"/>
      <c r="R190" s="23">
        <f t="shared" si="11"/>
        <v>3700</v>
      </c>
      <c r="S190" t="s">
        <v>23</v>
      </c>
      <c r="T190" t="s">
        <v>29</v>
      </c>
    </row>
    <row r="191" spans="1:20">
      <c r="A191">
        <v>1190</v>
      </c>
      <c r="B191">
        <v>2001</v>
      </c>
      <c r="C191" t="s">
        <v>22</v>
      </c>
      <c r="D191" t="s">
        <v>25</v>
      </c>
      <c r="E191" t="s">
        <v>20</v>
      </c>
      <c r="F191" t="s">
        <v>21</v>
      </c>
      <c r="G191" t="s">
        <v>26</v>
      </c>
      <c r="H191">
        <v>25</v>
      </c>
      <c r="I191">
        <v>3001</v>
      </c>
      <c r="J191" s="21">
        <v>44593</v>
      </c>
      <c r="K191" s="21" t="str">
        <f t="shared" si="8"/>
        <v>Feb</v>
      </c>
      <c r="L191">
        <f t="shared" si="9"/>
        <v>2022</v>
      </c>
      <c r="M191" s="23">
        <v>840</v>
      </c>
      <c r="N191" s="23">
        <v>1200</v>
      </c>
      <c r="O191">
        <v>2</v>
      </c>
      <c r="P191" s="16">
        <f t="shared" si="10"/>
        <v>2400</v>
      </c>
      <c r="Q191" s="23"/>
      <c r="R191" s="23">
        <f t="shared" si="11"/>
        <v>2400</v>
      </c>
      <c r="S191" t="s">
        <v>23</v>
      </c>
      <c r="T191" t="s">
        <v>24</v>
      </c>
    </row>
    <row r="192" spans="1:20">
      <c r="A192">
        <v>1191</v>
      </c>
      <c r="B192">
        <v>2002</v>
      </c>
      <c r="C192" t="s">
        <v>27</v>
      </c>
      <c r="D192" t="s">
        <v>30</v>
      </c>
      <c r="E192" t="s">
        <v>20</v>
      </c>
      <c r="F192" t="s">
        <v>21</v>
      </c>
      <c r="G192" t="s">
        <v>31</v>
      </c>
      <c r="H192">
        <v>22</v>
      </c>
      <c r="I192">
        <v>3002</v>
      </c>
      <c r="J192" s="21">
        <v>44594</v>
      </c>
      <c r="K192" s="21" t="str">
        <f t="shared" si="8"/>
        <v>Feb</v>
      </c>
      <c r="L192">
        <f t="shared" si="9"/>
        <v>2022</v>
      </c>
      <c r="M192" s="23">
        <v>1050</v>
      </c>
      <c r="N192" s="23">
        <v>1500</v>
      </c>
      <c r="O192">
        <v>1</v>
      </c>
      <c r="P192" s="16">
        <f t="shared" si="10"/>
        <v>1500</v>
      </c>
      <c r="Q192" s="23"/>
      <c r="R192" s="23">
        <f t="shared" si="11"/>
        <v>1500</v>
      </c>
      <c r="S192" t="s">
        <v>28</v>
      </c>
      <c r="T192" t="s">
        <v>29</v>
      </c>
    </row>
    <row r="193" spans="1:20">
      <c r="A193">
        <v>1192</v>
      </c>
      <c r="B193">
        <v>2003</v>
      </c>
      <c r="C193" t="s">
        <v>34</v>
      </c>
      <c r="D193" t="s">
        <v>36</v>
      </c>
      <c r="E193" t="s">
        <v>32</v>
      </c>
      <c r="F193" t="s">
        <v>33</v>
      </c>
      <c r="G193" t="s">
        <v>26</v>
      </c>
      <c r="H193">
        <v>18</v>
      </c>
      <c r="I193">
        <v>3003</v>
      </c>
      <c r="J193" s="21">
        <v>44595</v>
      </c>
      <c r="K193" s="21" t="str">
        <f t="shared" si="8"/>
        <v>Feb</v>
      </c>
      <c r="L193">
        <f t="shared" si="9"/>
        <v>2022</v>
      </c>
      <c r="M193" s="23">
        <v>1260</v>
      </c>
      <c r="N193" s="23">
        <v>1800</v>
      </c>
      <c r="O193">
        <v>3</v>
      </c>
      <c r="P193" s="16">
        <f t="shared" si="10"/>
        <v>5400</v>
      </c>
      <c r="Q193" s="23"/>
      <c r="R193" s="23">
        <f t="shared" si="11"/>
        <v>5400</v>
      </c>
      <c r="S193" t="s">
        <v>23</v>
      </c>
      <c r="T193" t="s">
        <v>35</v>
      </c>
    </row>
    <row r="194" spans="1:20">
      <c r="A194">
        <v>1193</v>
      </c>
      <c r="B194">
        <v>2004</v>
      </c>
      <c r="C194" t="s">
        <v>38</v>
      </c>
      <c r="D194" t="s">
        <v>39</v>
      </c>
      <c r="E194" t="s">
        <v>32</v>
      </c>
      <c r="F194" t="s">
        <v>33</v>
      </c>
      <c r="G194" t="s">
        <v>31</v>
      </c>
      <c r="H194">
        <v>16</v>
      </c>
      <c r="I194">
        <v>3004</v>
      </c>
      <c r="J194" s="21">
        <v>44596</v>
      </c>
      <c r="K194" s="21" t="str">
        <f t="shared" ref="K194:K247" si="12">TEXT(J194,"mmm")</f>
        <v>Feb</v>
      </c>
      <c r="L194">
        <f t="shared" ref="L194:L247" si="13">YEAR(J194)</f>
        <v>2022</v>
      </c>
      <c r="M194" s="23">
        <v>1470</v>
      </c>
      <c r="N194" s="23">
        <v>2100</v>
      </c>
      <c r="O194">
        <v>1</v>
      </c>
      <c r="P194" s="16">
        <f t="shared" ref="P194:P247" si="14">N194*O194</f>
        <v>2100</v>
      </c>
      <c r="Q194" s="23"/>
      <c r="R194" s="23">
        <f t="shared" ref="R194:R247" si="15">P194+Q194</f>
        <v>2100</v>
      </c>
      <c r="S194" t="s">
        <v>23</v>
      </c>
      <c r="T194" t="s">
        <v>24</v>
      </c>
    </row>
    <row r="195" spans="1:20">
      <c r="A195">
        <v>1194</v>
      </c>
      <c r="B195">
        <v>2005</v>
      </c>
      <c r="C195" t="s">
        <v>42</v>
      </c>
      <c r="D195" t="s">
        <v>43</v>
      </c>
      <c r="E195" t="s">
        <v>40</v>
      </c>
      <c r="F195" t="s">
        <v>41</v>
      </c>
      <c r="G195" t="s">
        <v>26</v>
      </c>
      <c r="H195">
        <v>27</v>
      </c>
      <c r="I195">
        <v>3005</v>
      </c>
      <c r="J195" s="21">
        <v>44597</v>
      </c>
      <c r="K195" s="21" t="str">
        <f t="shared" si="12"/>
        <v>Feb</v>
      </c>
      <c r="L195">
        <f t="shared" si="13"/>
        <v>2022</v>
      </c>
      <c r="M195" s="23">
        <v>897</v>
      </c>
      <c r="N195" s="23">
        <v>1300</v>
      </c>
      <c r="O195">
        <v>2</v>
      </c>
      <c r="P195" s="16">
        <f t="shared" si="14"/>
        <v>2600</v>
      </c>
      <c r="Q195" s="23"/>
      <c r="R195" s="23">
        <f t="shared" si="15"/>
        <v>2600</v>
      </c>
      <c r="S195" t="s">
        <v>28</v>
      </c>
      <c r="T195" t="s">
        <v>29</v>
      </c>
    </row>
    <row r="196" spans="1:20">
      <c r="A196">
        <v>1195</v>
      </c>
      <c r="B196">
        <v>2006</v>
      </c>
      <c r="C196" t="s">
        <v>44</v>
      </c>
      <c r="D196" t="s">
        <v>45</v>
      </c>
      <c r="E196" t="s">
        <v>40</v>
      </c>
      <c r="F196" t="s">
        <v>41</v>
      </c>
      <c r="G196" t="s">
        <v>31</v>
      </c>
      <c r="H196">
        <v>24</v>
      </c>
      <c r="I196">
        <v>3006</v>
      </c>
      <c r="J196" s="21">
        <v>44598</v>
      </c>
      <c r="K196" s="21" t="str">
        <f t="shared" si="12"/>
        <v>Feb</v>
      </c>
      <c r="L196">
        <f t="shared" si="13"/>
        <v>2022</v>
      </c>
      <c r="M196" s="23">
        <v>1104</v>
      </c>
      <c r="N196" s="23">
        <v>1600</v>
      </c>
      <c r="O196">
        <v>1</v>
      </c>
      <c r="P196" s="16">
        <f t="shared" si="14"/>
        <v>1600</v>
      </c>
      <c r="Q196" s="23"/>
      <c r="R196" s="23">
        <f t="shared" si="15"/>
        <v>1600</v>
      </c>
      <c r="S196" t="s">
        <v>23</v>
      </c>
      <c r="T196" t="s">
        <v>24</v>
      </c>
    </row>
    <row r="197" spans="1:20">
      <c r="A197">
        <v>1196</v>
      </c>
      <c r="B197">
        <v>2007</v>
      </c>
      <c r="C197" t="s">
        <v>47</v>
      </c>
      <c r="D197" t="s">
        <v>48</v>
      </c>
      <c r="E197" t="s">
        <v>20</v>
      </c>
      <c r="F197" t="s">
        <v>46</v>
      </c>
      <c r="G197" t="s">
        <v>26</v>
      </c>
      <c r="H197">
        <v>29</v>
      </c>
      <c r="I197">
        <v>3007</v>
      </c>
      <c r="J197" s="21">
        <v>44599</v>
      </c>
      <c r="K197" s="21" t="str">
        <f t="shared" si="12"/>
        <v>Feb</v>
      </c>
      <c r="L197">
        <f t="shared" si="13"/>
        <v>2022</v>
      </c>
      <c r="M197" s="23">
        <v>1496</v>
      </c>
      <c r="N197" s="23">
        <v>2200</v>
      </c>
      <c r="O197">
        <v>2</v>
      </c>
      <c r="P197" s="16">
        <f t="shared" si="14"/>
        <v>4400</v>
      </c>
      <c r="Q197" s="23"/>
      <c r="R197" s="23">
        <f t="shared" si="15"/>
        <v>4400</v>
      </c>
      <c r="S197" t="s">
        <v>28</v>
      </c>
      <c r="T197" t="s">
        <v>24</v>
      </c>
    </row>
    <row r="198" spans="1:20">
      <c r="A198">
        <v>1197</v>
      </c>
      <c r="B198">
        <v>2008</v>
      </c>
      <c r="C198" t="s">
        <v>49</v>
      </c>
      <c r="D198" t="s">
        <v>50</v>
      </c>
      <c r="E198" t="s">
        <v>20</v>
      </c>
      <c r="F198" t="s">
        <v>46</v>
      </c>
      <c r="G198" t="s">
        <v>31</v>
      </c>
      <c r="H198">
        <v>27</v>
      </c>
      <c r="I198">
        <v>3008</v>
      </c>
      <c r="J198" s="21">
        <v>44600</v>
      </c>
      <c r="K198" s="21" t="str">
        <f t="shared" si="12"/>
        <v>Feb</v>
      </c>
      <c r="L198">
        <f t="shared" si="13"/>
        <v>2022</v>
      </c>
      <c r="M198" s="23">
        <v>1700</v>
      </c>
      <c r="N198" s="23">
        <v>2500</v>
      </c>
      <c r="O198">
        <v>1</v>
      </c>
      <c r="P198" s="16">
        <f t="shared" si="14"/>
        <v>2500</v>
      </c>
      <c r="Q198" s="23"/>
      <c r="R198" s="23">
        <f t="shared" si="15"/>
        <v>2500</v>
      </c>
      <c r="S198" t="s">
        <v>23</v>
      </c>
      <c r="T198" t="s">
        <v>29</v>
      </c>
    </row>
    <row r="199" spans="1:20">
      <c r="A199">
        <v>1198</v>
      </c>
      <c r="B199">
        <v>2007</v>
      </c>
      <c r="C199" t="s">
        <v>47</v>
      </c>
      <c r="D199" t="s">
        <v>48</v>
      </c>
      <c r="E199" t="s">
        <v>20</v>
      </c>
      <c r="F199" t="s">
        <v>46</v>
      </c>
      <c r="G199" t="s">
        <v>26</v>
      </c>
      <c r="H199">
        <v>29</v>
      </c>
      <c r="I199">
        <v>3007</v>
      </c>
      <c r="J199" s="21">
        <v>44599</v>
      </c>
      <c r="K199" s="21" t="str">
        <f t="shared" si="12"/>
        <v>Feb</v>
      </c>
      <c r="L199">
        <f t="shared" si="13"/>
        <v>2022</v>
      </c>
      <c r="M199" s="23">
        <v>1496</v>
      </c>
      <c r="N199" s="23">
        <v>2200</v>
      </c>
      <c r="O199">
        <v>2</v>
      </c>
      <c r="P199" s="16">
        <f t="shared" si="14"/>
        <v>4400</v>
      </c>
      <c r="Q199" s="23"/>
      <c r="R199" s="23">
        <f t="shared" si="15"/>
        <v>4400</v>
      </c>
      <c r="S199" t="s">
        <v>28</v>
      </c>
      <c r="T199" t="s">
        <v>24</v>
      </c>
    </row>
    <row r="200" spans="1:20">
      <c r="A200">
        <v>1199</v>
      </c>
      <c r="B200">
        <v>2008</v>
      </c>
      <c r="C200" t="s">
        <v>49</v>
      </c>
      <c r="D200" t="s">
        <v>50</v>
      </c>
      <c r="E200" t="s">
        <v>20</v>
      </c>
      <c r="F200" t="s">
        <v>46</v>
      </c>
      <c r="G200" t="s">
        <v>31</v>
      </c>
      <c r="H200">
        <v>27</v>
      </c>
      <c r="I200">
        <v>3008</v>
      </c>
      <c r="J200" s="21">
        <v>44600</v>
      </c>
      <c r="K200" s="21" t="str">
        <f t="shared" si="12"/>
        <v>Feb</v>
      </c>
      <c r="L200">
        <f t="shared" si="13"/>
        <v>2022</v>
      </c>
      <c r="M200" s="23">
        <v>1700</v>
      </c>
      <c r="N200" s="23">
        <v>2500</v>
      </c>
      <c r="O200">
        <v>1</v>
      </c>
      <c r="P200" s="16">
        <f t="shared" si="14"/>
        <v>2500</v>
      </c>
      <c r="Q200" s="23"/>
      <c r="R200" s="23">
        <f t="shared" si="15"/>
        <v>2500</v>
      </c>
      <c r="S200" t="s">
        <v>23</v>
      </c>
      <c r="T200" t="s">
        <v>29</v>
      </c>
    </row>
    <row r="201" spans="1:20">
      <c r="A201">
        <v>1200</v>
      </c>
      <c r="B201">
        <v>2021</v>
      </c>
      <c r="C201" t="s">
        <v>52</v>
      </c>
      <c r="D201" t="s">
        <v>53</v>
      </c>
      <c r="E201" t="s">
        <v>20</v>
      </c>
      <c r="F201" t="s">
        <v>51</v>
      </c>
      <c r="G201" t="s">
        <v>26</v>
      </c>
      <c r="H201">
        <v>24</v>
      </c>
      <c r="I201">
        <v>3021</v>
      </c>
      <c r="J201" s="21">
        <v>44613</v>
      </c>
      <c r="K201" s="21" t="str">
        <f t="shared" si="12"/>
        <v>Feb</v>
      </c>
      <c r="L201">
        <f t="shared" si="13"/>
        <v>2022</v>
      </c>
      <c r="M201" s="23">
        <v>737</v>
      </c>
      <c r="N201" s="23">
        <v>1100</v>
      </c>
      <c r="O201">
        <v>2</v>
      </c>
      <c r="P201" s="16">
        <f t="shared" si="14"/>
        <v>2200</v>
      </c>
      <c r="Q201" s="23"/>
      <c r="R201" s="23">
        <f t="shared" si="15"/>
        <v>2200</v>
      </c>
      <c r="S201" t="s">
        <v>23</v>
      </c>
      <c r="T201" t="s">
        <v>24</v>
      </c>
    </row>
    <row r="202" spans="1:20">
      <c r="A202">
        <v>1201</v>
      </c>
      <c r="B202">
        <v>2022</v>
      </c>
      <c r="C202" t="s">
        <v>54</v>
      </c>
      <c r="D202" t="s">
        <v>55</v>
      </c>
      <c r="E202" t="s">
        <v>20</v>
      </c>
      <c r="F202" t="s">
        <v>51</v>
      </c>
      <c r="G202" t="s">
        <v>31</v>
      </c>
      <c r="H202">
        <v>21</v>
      </c>
      <c r="I202">
        <v>3022</v>
      </c>
      <c r="J202" s="21">
        <v>44614</v>
      </c>
      <c r="K202" s="21" t="str">
        <f t="shared" si="12"/>
        <v>Feb</v>
      </c>
      <c r="L202">
        <f t="shared" si="13"/>
        <v>2022</v>
      </c>
      <c r="M202" s="23">
        <v>938</v>
      </c>
      <c r="N202" s="23">
        <v>1400</v>
      </c>
      <c r="O202">
        <v>1</v>
      </c>
      <c r="P202" s="16">
        <f t="shared" si="14"/>
        <v>1400</v>
      </c>
      <c r="Q202" s="23"/>
      <c r="R202" s="23">
        <f t="shared" si="15"/>
        <v>1400</v>
      </c>
      <c r="S202" t="s">
        <v>28</v>
      </c>
      <c r="T202" t="s">
        <v>29</v>
      </c>
    </row>
    <row r="203" spans="1:20">
      <c r="A203">
        <v>1202</v>
      </c>
      <c r="B203">
        <v>2023</v>
      </c>
      <c r="C203" t="s">
        <v>58</v>
      </c>
      <c r="D203" t="s">
        <v>59</v>
      </c>
      <c r="E203" t="s">
        <v>32</v>
      </c>
      <c r="F203" t="s">
        <v>57</v>
      </c>
      <c r="G203" t="s">
        <v>26</v>
      </c>
      <c r="H203">
        <v>20</v>
      </c>
      <c r="I203">
        <v>3023</v>
      </c>
      <c r="J203" s="21">
        <v>44615</v>
      </c>
      <c r="K203" s="21" t="str">
        <f t="shared" si="12"/>
        <v>Feb</v>
      </c>
      <c r="L203">
        <f t="shared" si="13"/>
        <v>2022</v>
      </c>
      <c r="M203" s="23">
        <v>1190</v>
      </c>
      <c r="N203" s="23">
        <v>1700</v>
      </c>
      <c r="O203">
        <v>3</v>
      </c>
      <c r="P203" s="16">
        <f t="shared" si="14"/>
        <v>5100</v>
      </c>
      <c r="Q203" s="23"/>
      <c r="R203" s="23">
        <f t="shared" si="15"/>
        <v>5100</v>
      </c>
      <c r="S203" t="s">
        <v>23</v>
      </c>
      <c r="T203" t="s">
        <v>35</v>
      </c>
    </row>
    <row r="204" spans="1:20">
      <c r="A204">
        <v>1203</v>
      </c>
      <c r="B204">
        <v>2024</v>
      </c>
      <c r="C204" t="s">
        <v>61</v>
      </c>
      <c r="D204" t="s">
        <v>62</v>
      </c>
      <c r="E204" t="s">
        <v>32</v>
      </c>
      <c r="F204" t="s">
        <v>57</v>
      </c>
      <c r="G204" t="s">
        <v>31</v>
      </c>
      <c r="H204">
        <v>18</v>
      </c>
      <c r="I204">
        <v>3024</v>
      </c>
      <c r="J204" s="21">
        <v>44616</v>
      </c>
      <c r="K204" s="21" t="str">
        <f t="shared" si="12"/>
        <v>Feb</v>
      </c>
      <c r="L204">
        <f t="shared" si="13"/>
        <v>2022</v>
      </c>
      <c r="M204" s="23">
        <v>1400</v>
      </c>
      <c r="N204" s="23">
        <v>2000</v>
      </c>
      <c r="O204">
        <v>1</v>
      </c>
      <c r="P204" s="16">
        <f t="shared" si="14"/>
        <v>2000</v>
      </c>
      <c r="Q204" s="23"/>
      <c r="R204" s="23">
        <f t="shared" si="15"/>
        <v>2000</v>
      </c>
      <c r="S204" t="s">
        <v>23</v>
      </c>
      <c r="T204" t="s">
        <v>24</v>
      </c>
    </row>
    <row r="205" spans="1:20">
      <c r="A205">
        <v>1204</v>
      </c>
      <c r="B205">
        <v>2025</v>
      </c>
      <c r="C205" t="s">
        <v>65</v>
      </c>
      <c r="D205" t="s">
        <v>66</v>
      </c>
      <c r="E205" t="s">
        <v>40</v>
      </c>
      <c r="F205" t="s">
        <v>64</v>
      </c>
      <c r="G205" t="s">
        <v>26</v>
      </c>
      <c r="H205">
        <v>28</v>
      </c>
      <c r="I205">
        <v>3025</v>
      </c>
      <c r="J205" s="21">
        <v>44617</v>
      </c>
      <c r="K205" s="21" t="str">
        <f t="shared" si="12"/>
        <v>Feb</v>
      </c>
      <c r="L205">
        <f t="shared" si="13"/>
        <v>2022</v>
      </c>
      <c r="M205" s="23">
        <v>975</v>
      </c>
      <c r="N205" s="23">
        <v>1500</v>
      </c>
      <c r="O205">
        <v>2</v>
      </c>
      <c r="P205" s="16">
        <f t="shared" si="14"/>
        <v>3000</v>
      </c>
      <c r="Q205" s="23"/>
      <c r="R205" s="23">
        <f t="shared" si="15"/>
        <v>3000</v>
      </c>
      <c r="S205" t="s">
        <v>28</v>
      </c>
      <c r="T205" t="s">
        <v>29</v>
      </c>
    </row>
    <row r="206" spans="1:20">
      <c r="A206">
        <v>1205</v>
      </c>
      <c r="B206">
        <v>2026</v>
      </c>
      <c r="C206" t="s">
        <v>67</v>
      </c>
      <c r="D206" t="s">
        <v>68</v>
      </c>
      <c r="E206" t="s">
        <v>40</v>
      </c>
      <c r="F206" t="s">
        <v>64</v>
      </c>
      <c r="G206" t="s">
        <v>31</v>
      </c>
      <c r="H206">
        <v>26</v>
      </c>
      <c r="I206">
        <v>3026</v>
      </c>
      <c r="J206" s="21">
        <v>44618</v>
      </c>
      <c r="K206" s="21" t="str">
        <f t="shared" si="12"/>
        <v>Feb</v>
      </c>
      <c r="L206">
        <f t="shared" si="13"/>
        <v>2022</v>
      </c>
      <c r="M206" s="23">
        <v>1170</v>
      </c>
      <c r="N206" s="23">
        <v>1800</v>
      </c>
      <c r="O206">
        <v>1</v>
      </c>
      <c r="P206" s="16">
        <f t="shared" si="14"/>
        <v>1800</v>
      </c>
      <c r="Q206" s="23"/>
      <c r="R206" s="23">
        <f t="shared" si="15"/>
        <v>1800</v>
      </c>
      <c r="S206" t="s">
        <v>23</v>
      </c>
      <c r="T206" t="s">
        <v>24</v>
      </c>
    </row>
    <row r="207" spans="1:20">
      <c r="A207">
        <v>1206</v>
      </c>
      <c r="B207">
        <v>2027</v>
      </c>
      <c r="C207" t="s">
        <v>70</v>
      </c>
      <c r="D207" t="s">
        <v>71</v>
      </c>
      <c r="E207" t="s">
        <v>20</v>
      </c>
      <c r="F207" t="s">
        <v>69</v>
      </c>
      <c r="G207" t="s">
        <v>26</v>
      </c>
      <c r="H207">
        <v>30</v>
      </c>
      <c r="I207">
        <v>3027</v>
      </c>
      <c r="J207" s="21">
        <v>44619</v>
      </c>
      <c r="K207" s="21" t="str">
        <f t="shared" si="12"/>
        <v>Feb</v>
      </c>
      <c r="L207">
        <f t="shared" si="13"/>
        <v>2022</v>
      </c>
      <c r="M207" s="23">
        <v>1656</v>
      </c>
      <c r="N207" s="23">
        <v>2300</v>
      </c>
      <c r="O207">
        <v>2</v>
      </c>
      <c r="P207" s="16">
        <f t="shared" si="14"/>
        <v>4600</v>
      </c>
      <c r="Q207" s="23"/>
      <c r="R207" s="23">
        <f t="shared" si="15"/>
        <v>4600</v>
      </c>
      <c r="S207" t="s">
        <v>28</v>
      </c>
      <c r="T207" t="s">
        <v>24</v>
      </c>
    </row>
    <row r="208" spans="1:20">
      <c r="A208">
        <v>1207</v>
      </c>
      <c r="B208">
        <v>2028</v>
      </c>
      <c r="C208" t="s">
        <v>72</v>
      </c>
      <c r="D208" t="s">
        <v>73</v>
      </c>
      <c r="E208" t="s">
        <v>20</v>
      </c>
      <c r="F208" t="s">
        <v>69</v>
      </c>
      <c r="G208" t="s">
        <v>31</v>
      </c>
      <c r="H208">
        <v>28</v>
      </c>
      <c r="I208">
        <v>3028</v>
      </c>
      <c r="J208" s="21">
        <v>44620</v>
      </c>
      <c r="K208" s="21" t="str">
        <f t="shared" si="12"/>
        <v>Feb</v>
      </c>
      <c r="L208">
        <f t="shared" si="13"/>
        <v>2022</v>
      </c>
      <c r="M208" s="23">
        <v>1872</v>
      </c>
      <c r="N208" s="23">
        <v>2600</v>
      </c>
      <c r="O208">
        <v>1</v>
      </c>
      <c r="P208" s="16">
        <f t="shared" si="14"/>
        <v>2600</v>
      </c>
      <c r="Q208" s="23"/>
      <c r="R208" s="23">
        <f t="shared" si="15"/>
        <v>2600</v>
      </c>
      <c r="S208" t="s">
        <v>23</v>
      </c>
      <c r="T208" t="s">
        <v>29</v>
      </c>
    </row>
    <row r="209" spans="1:20">
      <c r="A209">
        <v>1208</v>
      </c>
      <c r="B209">
        <v>2041</v>
      </c>
      <c r="C209" t="s">
        <v>75</v>
      </c>
      <c r="D209" t="s">
        <v>76</v>
      </c>
      <c r="E209" t="s">
        <v>20</v>
      </c>
      <c r="F209" t="s">
        <v>74</v>
      </c>
      <c r="G209" t="s">
        <v>26</v>
      </c>
      <c r="H209">
        <v>32</v>
      </c>
      <c r="I209">
        <v>3041</v>
      </c>
      <c r="J209" s="21">
        <v>44603</v>
      </c>
      <c r="K209" s="21" t="str">
        <f t="shared" si="12"/>
        <v>Feb</v>
      </c>
      <c r="L209">
        <f t="shared" si="13"/>
        <v>2022</v>
      </c>
      <c r="M209" s="23">
        <v>780</v>
      </c>
      <c r="N209" s="23">
        <v>1300</v>
      </c>
      <c r="O209">
        <v>2</v>
      </c>
      <c r="P209" s="16">
        <f t="shared" si="14"/>
        <v>2600</v>
      </c>
      <c r="Q209" s="23"/>
      <c r="R209" s="23">
        <f t="shared" si="15"/>
        <v>2600</v>
      </c>
      <c r="S209" t="s">
        <v>23</v>
      </c>
      <c r="T209" t="s">
        <v>24</v>
      </c>
    </row>
    <row r="210" spans="1:20">
      <c r="A210">
        <v>1209</v>
      </c>
      <c r="B210">
        <v>2042</v>
      </c>
      <c r="C210" t="s">
        <v>77</v>
      </c>
      <c r="D210" t="s">
        <v>78</v>
      </c>
      <c r="E210" t="s">
        <v>20</v>
      </c>
      <c r="F210" t="s">
        <v>74</v>
      </c>
      <c r="G210" t="s">
        <v>31</v>
      </c>
      <c r="H210">
        <v>29</v>
      </c>
      <c r="I210">
        <v>3042</v>
      </c>
      <c r="J210" s="21">
        <v>44604</v>
      </c>
      <c r="K210" s="21" t="str">
        <f t="shared" si="12"/>
        <v>Feb</v>
      </c>
      <c r="L210">
        <f t="shared" si="13"/>
        <v>2022</v>
      </c>
      <c r="M210" s="23">
        <v>960</v>
      </c>
      <c r="N210" s="23">
        <v>1600</v>
      </c>
      <c r="O210">
        <v>1</v>
      </c>
      <c r="P210" s="16">
        <f t="shared" si="14"/>
        <v>1600</v>
      </c>
      <c r="Q210" s="23"/>
      <c r="R210" s="23">
        <f t="shared" si="15"/>
        <v>1600</v>
      </c>
      <c r="S210" t="s">
        <v>28</v>
      </c>
      <c r="T210" t="s">
        <v>29</v>
      </c>
    </row>
    <row r="211" spans="1:20">
      <c r="A211">
        <v>1210</v>
      </c>
      <c r="B211">
        <v>2023</v>
      </c>
      <c r="C211" t="s">
        <v>58</v>
      </c>
      <c r="D211" t="s">
        <v>59</v>
      </c>
      <c r="E211" t="s">
        <v>32</v>
      </c>
      <c r="F211" t="s">
        <v>57</v>
      </c>
      <c r="G211" t="s">
        <v>26</v>
      </c>
      <c r="H211">
        <v>20</v>
      </c>
      <c r="I211">
        <v>3023</v>
      </c>
      <c r="J211" s="21">
        <v>44643</v>
      </c>
      <c r="K211" s="21" t="str">
        <f t="shared" si="12"/>
        <v>Mar</v>
      </c>
      <c r="L211">
        <f t="shared" si="13"/>
        <v>2022</v>
      </c>
      <c r="M211" s="23">
        <v>1190</v>
      </c>
      <c r="N211" s="23">
        <v>1700</v>
      </c>
      <c r="O211">
        <v>3</v>
      </c>
      <c r="P211" s="16">
        <f t="shared" si="14"/>
        <v>5100</v>
      </c>
      <c r="Q211" s="23"/>
      <c r="R211" s="23">
        <f t="shared" si="15"/>
        <v>5100</v>
      </c>
      <c r="S211" t="s">
        <v>23</v>
      </c>
      <c r="T211" t="s">
        <v>35</v>
      </c>
    </row>
    <row r="212" spans="1:20">
      <c r="A212">
        <v>1211</v>
      </c>
      <c r="B212">
        <v>2024</v>
      </c>
      <c r="C212" t="s">
        <v>61</v>
      </c>
      <c r="D212" t="s">
        <v>62</v>
      </c>
      <c r="E212" t="s">
        <v>32</v>
      </c>
      <c r="F212" t="s">
        <v>57</v>
      </c>
      <c r="G212" t="s">
        <v>31</v>
      </c>
      <c r="H212">
        <v>18</v>
      </c>
      <c r="I212">
        <v>3024</v>
      </c>
      <c r="J212" s="21">
        <v>44644</v>
      </c>
      <c r="K212" s="21" t="str">
        <f t="shared" si="12"/>
        <v>Mar</v>
      </c>
      <c r="L212">
        <f t="shared" si="13"/>
        <v>2022</v>
      </c>
      <c r="M212" s="23">
        <v>1400</v>
      </c>
      <c r="N212" s="23">
        <v>2000</v>
      </c>
      <c r="O212">
        <v>1</v>
      </c>
      <c r="P212" s="16">
        <f t="shared" si="14"/>
        <v>2000</v>
      </c>
      <c r="Q212" s="23"/>
      <c r="R212" s="23">
        <f t="shared" si="15"/>
        <v>2000</v>
      </c>
      <c r="S212" t="s">
        <v>23</v>
      </c>
      <c r="T212" t="s">
        <v>24</v>
      </c>
    </row>
    <row r="213" spans="1:20">
      <c r="A213">
        <v>1212</v>
      </c>
      <c r="B213">
        <v>2025</v>
      </c>
      <c r="C213" t="s">
        <v>65</v>
      </c>
      <c r="D213" t="s">
        <v>66</v>
      </c>
      <c r="E213" t="s">
        <v>40</v>
      </c>
      <c r="F213" t="s">
        <v>64</v>
      </c>
      <c r="G213" t="s">
        <v>26</v>
      </c>
      <c r="H213">
        <v>28</v>
      </c>
      <c r="I213">
        <v>3025</v>
      </c>
      <c r="J213" s="21">
        <v>44645</v>
      </c>
      <c r="K213" s="21" t="str">
        <f t="shared" si="12"/>
        <v>Mar</v>
      </c>
      <c r="L213">
        <f t="shared" si="13"/>
        <v>2022</v>
      </c>
      <c r="M213" s="23">
        <v>975</v>
      </c>
      <c r="N213" s="23">
        <v>1500</v>
      </c>
      <c r="O213">
        <v>2</v>
      </c>
      <c r="P213" s="16">
        <f t="shared" si="14"/>
        <v>3000</v>
      </c>
      <c r="Q213" s="23"/>
      <c r="R213" s="23">
        <f t="shared" si="15"/>
        <v>3000</v>
      </c>
      <c r="S213" t="s">
        <v>28</v>
      </c>
      <c r="T213" t="s">
        <v>29</v>
      </c>
    </row>
    <row r="214" spans="1:20">
      <c r="A214">
        <v>1213</v>
      </c>
      <c r="B214">
        <v>2026</v>
      </c>
      <c r="C214" t="s">
        <v>67</v>
      </c>
      <c r="D214" t="s">
        <v>68</v>
      </c>
      <c r="E214" t="s">
        <v>40</v>
      </c>
      <c r="F214" t="s">
        <v>64</v>
      </c>
      <c r="G214" t="s">
        <v>31</v>
      </c>
      <c r="H214">
        <v>26</v>
      </c>
      <c r="I214">
        <v>3026</v>
      </c>
      <c r="J214" s="21">
        <v>44646</v>
      </c>
      <c r="K214" s="21" t="str">
        <f t="shared" si="12"/>
        <v>Mar</v>
      </c>
      <c r="L214">
        <f t="shared" si="13"/>
        <v>2022</v>
      </c>
      <c r="M214" s="23">
        <v>1170</v>
      </c>
      <c r="N214" s="23">
        <v>1800</v>
      </c>
      <c r="O214">
        <v>1</v>
      </c>
      <c r="P214" s="16">
        <f t="shared" si="14"/>
        <v>1800</v>
      </c>
      <c r="Q214" s="23"/>
      <c r="R214" s="23">
        <f t="shared" si="15"/>
        <v>1800</v>
      </c>
      <c r="S214" t="s">
        <v>23</v>
      </c>
      <c r="T214" t="s">
        <v>24</v>
      </c>
    </row>
    <row r="215" spans="1:20">
      <c r="A215">
        <v>1214</v>
      </c>
      <c r="B215">
        <v>2027</v>
      </c>
      <c r="C215" t="s">
        <v>70</v>
      </c>
      <c r="D215" t="s">
        <v>71</v>
      </c>
      <c r="E215" t="s">
        <v>20</v>
      </c>
      <c r="F215" t="s">
        <v>69</v>
      </c>
      <c r="G215" t="s">
        <v>26</v>
      </c>
      <c r="H215">
        <v>30</v>
      </c>
      <c r="I215">
        <v>3027</v>
      </c>
      <c r="J215" s="21">
        <v>44647</v>
      </c>
      <c r="K215" s="21" t="str">
        <f t="shared" si="12"/>
        <v>Mar</v>
      </c>
      <c r="L215">
        <f t="shared" si="13"/>
        <v>2022</v>
      </c>
      <c r="M215" s="23">
        <v>1656</v>
      </c>
      <c r="N215" s="23">
        <v>2300</v>
      </c>
      <c r="O215">
        <v>2</v>
      </c>
      <c r="P215" s="16">
        <f t="shared" si="14"/>
        <v>4600</v>
      </c>
      <c r="Q215" s="23"/>
      <c r="R215" s="23">
        <f t="shared" si="15"/>
        <v>4600</v>
      </c>
      <c r="S215" t="s">
        <v>28</v>
      </c>
      <c r="T215" t="s">
        <v>24</v>
      </c>
    </row>
    <row r="216" spans="1:20">
      <c r="A216">
        <v>1215</v>
      </c>
      <c r="B216">
        <v>2028</v>
      </c>
      <c r="C216" t="s">
        <v>72</v>
      </c>
      <c r="D216" t="s">
        <v>73</v>
      </c>
      <c r="E216" t="s">
        <v>20</v>
      </c>
      <c r="F216" t="s">
        <v>69</v>
      </c>
      <c r="G216" t="s">
        <v>31</v>
      </c>
      <c r="H216">
        <v>28</v>
      </c>
      <c r="I216">
        <v>3028</v>
      </c>
      <c r="J216" s="21">
        <v>44648</v>
      </c>
      <c r="K216" s="21" t="str">
        <f t="shared" si="12"/>
        <v>Mar</v>
      </c>
      <c r="L216">
        <f t="shared" si="13"/>
        <v>2022</v>
      </c>
      <c r="M216" s="23">
        <v>1872</v>
      </c>
      <c r="N216" s="23">
        <v>2600</v>
      </c>
      <c r="O216">
        <v>1</v>
      </c>
      <c r="P216" s="16">
        <f t="shared" si="14"/>
        <v>2600</v>
      </c>
      <c r="Q216" s="23"/>
      <c r="R216" s="23">
        <f t="shared" si="15"/>
        <v>2600</v>
      </c>
      <c r="S216" t="s">
        <v>23</v>
      </c>
      <c r="T216" t="s">
        <v>29</v>
      </c>
    </row>
    <row r="217" spans="1:20">
      <c r="A217">
        <v>1216</v>
      </c>
      <c r="B217">
        <v>2001</v>
      </c>
      <c r="C217" t="s">
        <v>22</v>
      </c>
      <c r="D217" t="s">
        <v>25</v>
      </c>
      <c r="E217" t="s">
        <v>20</v>
      </c>
      <c r="F217" t="s">
        <v>21</v>
      </c>
      <c r="G217" t="s">
        <v>26</v>
      </c>
      <c r="H217">
        <v>25</v>
      </c>
      <c r="I217">
        <v>3001</v>
      </c>
      <c r="J217" s="21">
        <v>44621</v>
      </c>
      <c r="K217" s="21" t="str">
        <f t="shared" si="12"/>
        <v>Mar</v>
      </c>
      <c r="L217">
        <f t="shared" si="13"/>
        <v>2022</v>
      </c>
      <c r="M217" s="23">
        <v>840</v>
      </c>
      <c r="N217" s="23">
        <v>1200</v>
      </c>
      <c r="O217">
        <v>2</v>
      </c>
      <c r="P217" s="16">
        <f t="shared" si="14"/>
        <v>2400</v>
      </c>
      <c r="Q217" s="23"/>
      <c r="R217" s="23">
        <f t="shared" si="15"/>
        <v>2400</v>
      </c>
      <c r="S217" t="s">
        <v>23</v>
      </c>
      <c r="T217" t="s">
        <v>24</v>
      </c>
    </row>
    <row r="218" spans="1:20">
      <c r="A218">
        <v>1217</v>
      </c>
      <c r="B218">
        <v>2002</v>
      </c>
      <c r="C218" t="s">
        <v>27</v>
      </c>
      <c r="D218" t="s">
        <v>30</v>
      </c>
      <c r="E218" t="s">
        <v>20</v>
      </c>
      <c r="F218" t="s">
        <v>21</v>
      </c>
      <c r="G218" t="s">
        <v>31</v>
      </c>
      <c r="H218">
        <v>22</v>
      </c>
      <c r="I218">
        <v>3002</v>
      </c>
      <c r="J218" s="21">
        <v>44622</v>
      </c>
      <c r="K218" s="21" t="str">
        <f t="shared" si="12"/>
        <v>Mar</v>
      </c>
      <c r="L218">
        <f t="shared" si="13"/>
        <v>2022</v>
      </c>
      <c r="M218" s="23">
        <v>1050</v>
      </c>
      <c r="N218" s="23">
        <v>1500</v>
      </c>
      <c r="O218">
        <v>1</v>
      </c>
      <c r="P218" s="16">
        <f t="shared" si="14"/>
        <v>1500</v>
      </c>
      <c r="Q218" s="23"/>
      <c r="R218" s="23">
        <f t="shared" si="15"/>
        <v>1500</v>
      </c>
      <c r="S218" t="s">
        <v>28</v>
      </c>
      <c r="T218" t="s">
        <v>29</v>
      </c>
    </row>
    <row r="219" spans="1:20">
      <c r="A219">
        <v>1218</v>
      </c>
      <c r="B219">
        <v>2003</v>
      </c>
      <c r="C219" t="s">
        <v>34</v>
      </c>
      <c r="D219" t="s">
        <v>36</v>
      </c>
      <c r="E219" t="s">
        <v>32</v>
      </c>
      <c r="F219" t="s">
        <v>33</v>
      </c>
      <c r="G219" t="s">
        <v>26</v>
      </c>
      <c r="H219">
        <v>18</v>
      </c>
      <c r="I219">
        <v>3003</v>
      </c>
      <c r="J219" s="21">
        <v>44623</v>
      </c>
      <c r="K219" s="21" t="str">
        <f t="shared" si="12"/>
        <v>Mar</v>
      </c>
      <c r="L219">
        <f t="shared" si="13"/>
        <v>2022</v>
      </c>
      <c r="M219" s="23">
        <v>1260</v>
      </c>
      <c r="N219" s="23">
        <v>1800</v>
      </c>
      <c r="O219">
        <v>3</v>
      </c>
      <c r="P219" s="16">
        <f t="shared" si="14"/>
        <v>5400</v>
      </c>
      <c r="Q219" s="23"/>
      <c r="R219" s="23">
        <f t="shared" si="15"/>
        <v>5400</v>
      </c>
      <c r="S219" t="s">
        <v>23</v>
      </c>
      <c r="T219" t="s">
        <v>35</v>
      </c>
    </row>
    <row r="220" spans="1:20">
      <c r="A220">
        <v>1219</v>
      </c>
      <c r="B220">
        <v>2004</v>
      </c>
      <c r="C220" t="s">
        <v>38</v>
      </c>
      <c r="D220" t="s">
        <v>39</v>
      </c>
      <c r="E220" t="s">
        <v>32</v>
      </c>
      <c r="F220" t="s">
        <v>33</v>
      </c>
      <c r="G220" t="s">
        <v>31</v>
      </c>
      <c r="H220">
        <v>16</v>
      </c>
      <c r="I220">
        <v>3004</v>
      </c>
      <c r="J220" s="21">
        <v>44624</v>
      </c>
      <c r="K220" s="21" t="str">
        <f t="shared" si="12"/>
        <v>Mar</v>
      </c>
      <c r="L220">
        <f t="shared" si="13"/>
        <v>2022</v>
      </c>
      <c r="M220" s="23">
        <v>1470</v>
      </c>
      <c r="N220" s="23">
        <v>2100</v>
      </c>
      <c r="O220">
        <v>1</v>
      </c>
      <c r="P220" s="16">
        <f t="shared" si="14"/>
        <v>2100</v>
      </c>
      <c r="Q220" s="23"/>
      <c r="R220" s="23">
        <f t="shared" si="15"/>
        <v>2100</v>
      </c>
      <c r="S220" t="s">
        <v>23</v>
      </c>
      <c r="T220" t="s">
        <v>24</v>
      </c>
    </row>
    <row r="221" spans="1:20">
      <c r="A221">
        <v>1220</v>
      </c>
      <c r="B221">
        <v>2005</v>
      </c>
      <c r="C221" t="s">
        <v>42</v>
      </c>
      <c r="D221" t="s">
        <v>43</v>
      </c>
      <c r="E221" t="s">
        <v>40</v>
      </c>
      <c r="F221" t="s">
        <v>41</v>
      </c>
      <c r="G221" t="s">
        <v>26</v>
      </c>
      <c r="H221">
        <v>27</v>
      </c>
      <c r="I221">
        <v>3005</v>
      </c>
      <c r="J221" s="21">
        <v>44625</v>
      </c>
      <c r="K221" s="21" t="str">
        <f t="shared" si="12"/>
        <v>Mar</v>
      </c>
      <c r="L221">
        <f t="shared" si="13"/>
        <v>2022</v>
      </c>
      <c r="M221" s="23">
        <v>897</v>
      </c>
      <c r="N221" s="23">
        <v>1300</v>
      </c>
      <c r="O221">
        <v>2</v>
      </c>
      <c r="P221" s="16">
        <f t="shared" si="14"/>
        <v>2600</v>
      </c>
      <c r="Q221" s="23"/>
      <c r="R221" s="23">
        <f t="shared" si="15"/>
        <v>2600</v>
      </c>
      <c r="S221" t="s">
        <v>28</v>
      </c>
      <c r="T221" t="s">
        <v>29</v>
      </c>
    </row>
    <row r="222" spans="1:20">
      <c r="A222">
        <v>1221</v>
      </c>
      <c r="B222">
        <v>2006</v>
      </c>
      <c r="C222" t="s">
        <v>44</v>
      </c>
      <c r="D222" t="s">
        <v>45</v>
      </c>
      <c r="E222" t="s">
        <v>40</v>
      </c>
      <c r="F222" t="s">
        <v>41</v>
      </c>
      <c r="G222" t="s">
        <v>31</v>
      </c>
      <c r="H222">
        <v>24</v>
      </c>
      <c r="I222">
        <v>3006</v>
      </c>
      <c r="J222" s="21">
        <v>44626</v>
      </c>
      <c r="K222" s="21" t="str">
        <f t="shared" si="12"/>
        <v>Mar</v>
      </c>
      <c r="L222">
        <f t="shared" si="13"/>
        <v>2022</v>
      </c>
      <c r="M222" s="23">
        <v>1104</v>
      </c>
      <c r="N222" s="23">
        <v>1600</v>
      </c>
      <c r="O222">
        <v>1</v>
      </c>
      <c r="P222" s="16">
        <f t="shared" si="14"/>
        <v>1600</v>
      </c>
      <c r="Q222" s="23"/>
      <c r="R222" s="23">
        <f t="shared" si="15"/>
        <v>1600</v>
      </c>
      <c r="S222" t="s">
        <v>23</v>
      </c>
      <c r="T222" t="s">
        <v>24</v>
      </c>
    </row>
    <row r="223" spans="1:20">
      <c r="A223">
        <v>1222</v>
      </c>
      <c r="B223">
        <v>2007</v>
      </c>
      <c r="C223" t="s">
        <v>47</v>
      </c>
      <c r="D223" t="s">
        <v>48</v>
      </c>
      <c r="E223" t="s">
        <v>20</v>
      </c>
      <c r="F223" t="s">
        <v>46</v>
      </c>
      <c r="G223" t="s">
        <v>26</v>
      </c>
      <c r="H223">
        <v>29</v>
      </c>
      <c r="I223">
        <v>3007</v>
      </c>
      <c r="J223" s="21">
        <v>44627</v>
      </c>
      <c r="K223" s="21" t="str">
        <f t="shared" si="12"/>
        <v>Mar</v>
      </c>
      <c r="L223">
        <f t="shared" si="13"/>
        <v>2022</v>
      </c>
      <c r="M223" s="23">
        <v>1496</v>
      </c>
      <c r="N223" s="23">
        <v>2200</v>
      </c>
      <c r="O223">
        <v>2</v>
      </c>
      <c r="P223" s="16">
        <f t="shared" si="14"/>
        <v>4400</v>
      </c>
      <c r="Q223" s="23"/>
      <c r="R223" s="23">
        <f t="shared" si="15"/>
        <v>4400</v>
      </c>
      <c r="S223" t="s">
        <v>28</v>
      </c>
      <c r="T223" t="s">
        <v>24</v>
      </c>
    </row>
    <row r="224" spans="1:20">
      <c r="A224">
        <v>1223</v>
      </c>
      <c r="B224">
        <v>2008</v>
      </c>
      <c r="C224" t="s">
        <v>49</v>
      </c>
      <c r="D224" t="s">
        <v>50</v>
      </c>
      <c r="E224" t="s">
        <v>20</v>
      </c>
      <c r="F224" t="s">
        <v>46</v>
      </c>
      <c r="G224" t="s">
        <v>31</v>
      </c>
      <c r="H224">
        <v>27</v>
      </c>
      <c r="I224">
        <v>3008</v>
      </c>
      <c r="J224" s="21">
        <v>44628</v>
      </c>
      <c r="K224" s="21" t="str">
        <f t="shared" si="12"/>
        <v>Mar</v>
      </c>
      <c r="L224">
        <f t="shared" si="13"/>
        <v>2022</v>
      </c>
      <c r="M224" s="23">
        <v>1700</v>
      </c>
      <c r="N224" s="23">
        <v>2500</v>
      </c>
      <c r="O224">
        <v>1</v>
      </c>
      <c r="P224" s="16">
        <f t="shared" si="14"/>
        <v>2500</v>
      </c>
      <c r="Q224" s="23"/>
      <c r="R224" s="23">
        <f t="shared" si="15"/>
        <v>2500</v>
      </c>
      <c r="S224" t="s">
        <v>23</v>
      </c>
      <c r="T224" t="s">
        <v>29</v>
      </c>
    </row>
    <row r="225" spans="1:20">
      <c r="A225">
        <v>1224</v>
      </c>
      <c r="B225">
        <v>2021</v>
      </c>
      <c r="C225" t="s">
        <v>52</v>
      </c>
      <c r="D225" t="s">
        <v>53</v>
      </c>
      <c r="E225" t="s">
        <v>20</v>
      </c>
      <c r="F225" t="s">
        <v>51</v>
      </c>
      <c r="G225" t="s">
        <v>26</v>
      </c>
      <c r="H225">
        <v>24</v>
      </c>
      <c r="I225">
        <v>3021</v>
      </c>
      <c r="J225" s="21">
        <v>44641</v>
      </c>
      <c r="K225" s="21" t="str">
        <f t="shared" si="12"/>
        <v>Mar</v>
      </c>
      <c r="L225">
        <f t="shared" si="13"/>
        <v>2022</v>
      </c>
      <c r="M225" s="23">
        <v>737</v>
      </c>
      <c r="N225" s="23">
        <v>1100</v>
      </c>
      <c r="O225">
        <v>2</v>
      </c>
      <c r="P225" s="16">
        <f t="shared" si="14"/>
        <v>2200</v>
      </c>
      <c r="Q225" s="23"/>
      <c r="R225" s="23">
        <f t="shared" si="15"/>
        <v>2200</v>
      </c>
      <c r="S225" t="s">
        <v>23</v>
      </c>
      <c r="T225" t="s">
        <v>24</v>
      </c>
    </row>
    <row r="226" spans="1:20">
      <c r="A226">
        <v>1225</v>
      </c>
      <c r="B226">
        <v>2022</v>
      </c>
      <c r="C226" t="s">
        <v>54</v>
      </c>
      <c r="D226" t="s">
        <v>55</v>
      </c>
      <c r="E226" t="s">
        <v>20</v>
      </c>
      <c r="F226" t="s">
        <v>51</v>
      </c>
      <c r="G226" t="s">
        <v>31</v>
      </c>
      <c r="H226">
        <v>21</v>
      </c>
      <c r="I226">
        <v>3022</v>
      </c>
      <c r="J226" s="21">
        <v>44642</v>
      </c>
      <c r="K226" s="21" t="str">
        <f t="shared" si="12"/>
        <v>Mar</v>
      </c>
      <c r="L226">
        <f t="shared" si="13"/>
        <v>2022</v>
      </c>
      <c r="M226" s="23">
        <v>938</v>
      </c>
      <c r="N226" s="23">
        <v>1400</v>
      </c>
      <c r="O226">
        <v>1</v>
      </c>
      <c r="P226" s="16">
        <f t="shared" si="14"/>
        <v>1400</v>
      </c>
      <c r="Q226" s="23"/>
      <c r="R226" s="23">
        <f t="shared" si="15"/>
        <v>1400</v>
      </c>
      <c r="S226" t="s">
        <v>28</v>
      </c>
      <c r="T226" t="s">
        <v>29</v>
      </c>
    </row>
    <row r="227" spans="1:20">
      <c r="A227">
        <v>1226</v>
      </c>
      <c r="B227">
        <v>2023</v>
      </c>
      <c r="C227" t="s">
        <v>58</v>
      </c>
      <c r="D227" t="s">
        <v>59</v>
      </c>
      <c r="E227" t="s">
        <v>32</v>
      </c>
      <c r="F227" t="s">
        <v>57</v>
      </c>
      <c r="G227" t="s">
        <v>26</v>
      </c>
      <c r="H227">
        <v>20</v>
      </c>
      <c r="I227">
        <v>3023</v>
      </c>
      <c r="J227" s="21">
        <v>44643</v>
      </c>
      <c r="K227" s="21" t="str">
        <f t="shared" si="12"/>
        <v>Mar</v>
      </c>
      <c r="L227">
        <f t="shared" si="13"/>
        <v>2022</v>
      </c>
      <c r="M227" s="23">
        <v>1190</v>
      </c>
      <c r="N227" s="23">
        <v>1700</v>
      </c>
      <c r="O227">
        <v>3</v>
      </c>
      <c r="P227" s="16">
        <f t="shared" si="14"/>
        <v>5100</v>
      </c>
      <c r="Q227" s="23"/>
      <c r="R227" s="23">
        <f t="shared" si="15"/>
        <v>5100</v>
      </c>
      <c r="S227" t="s">
        <v>23</v>
      </c>
      <c r="T227" t="s">
        <v>35</v>
      </c>
    </row>
    <row r="228" spans="1:20">
      <c r="A228">
        <v>1227</v>
      </c>
      <c r="B228">
        <v>2024</v>
      </c>
      <c r="C228" t="s">
        <v>61</v>
      </c>
      <c r="D228" t="s">
        <v>62</v>
      </c>
      <c r="E228" t="s">
        <v>32</v>
      </c>
      <c r="F228" t="s">
        <v>57</v>
      </c>
      <c r="G228" t="s">
        <v>31</v>
      </c>
      <c r="H228">
        <v>18</v>
      </c>
      <c r="I228">
        <v>3024</v>
      </c>
      <c r="J228" s="21">
        <v>44644</v>
      </c>
      <c r="K228" s="21" t="str">
        <f t="shared" si="12"/>
        <v>Mar</v>
      </c>
      <c r="L228">
        <f t="shared" si="13"/>
        <v>2022</v>
      </c>
      <c r="M228" s="23">
        <v>1400</v>
      </c>
      <c r="N228" s="23">
        <v>2000</v>
      </c>
      <c r="O228">
        <v>1</v>
      </c>
      <c r="P228" s="16">
        <f t="shared" si="14"/>
        <v>2000</v>
      </c>
      <c r="Q228" s="23"/>
      <c r="R228" s="23">
        <f t="shared" si="15"/>
        <v>2000</v>
      </c>
      <c r="S228" t="s">
        <v>23</v>
      </c>
      <c r="T228" t="s">
        <v>24</v>
      </c>
    </row>
    <row r="229" spans="1:20">
      <c r="A229">
        <v>1228</v>
      </c>
      <c r="B229">
        <v>2025</v>
      </c>
      <c r="C229" t="s">
        <v>65</v>
      </c>
      <c r="D229" t="s">
        <v>66</v>
      </c>
      <c r="E229" t="s">
        <v>40</v>
      </c>
      <c r="F229" t="s">
        <v>64</v>
      </c>
      <c r="G229" t="s">
        <v>26</v>
      </c>
      <c r="H229">
        <v>28</v>
      </c>
      <c r="I229">
        <v>3025</v>
      </c>
      <c r="J229" s="21">
        <v>44645</v>
      </c>
      <c r="K229" s="21" t="str">
        <f t="shared" si="12"/>
        <v>Mar</v>
      </c>
      <c r="L229">
        <f t="shared" si="13"/>
        <v>2022</v>
      </c>
      <c r="M229" s="23">
        <v>975</v>
      </c>
      <c r="N229" s="23">
        <v>1500</v>
      </c>
      <c r="O229">
        <v>2</v>
      </c>
      <c r="P229" s="16">
        <f t="shared" si="14"/>
        <v>3000</v>
      </c>
      <c r="Q229" s="23"/>
      <c r="R229" s="23">
        <f t="shared" si="15"/>
        <v>3000</v>
      </c>
      <c r="S229" t="s">
        <v>28</v>
      </c>
      <c r="T229" t="s">
        <v>29</v>
      </c>
    </row>
    <row r="230" spans="1:20">
      <c r="A230">
        <v>1229</v>
      </c>
      <c r="B230">
        <v>2026</v>
      </c>
      <c r="C230" t="s">
        <v>67</v>
      </c>
      <c r="D230" t="s">
        <v>68</v>
      </c>
      <c r="E230" t="s">
        <v>40</v>
      </c>
      <c r="F230" t="s">
        <v>64</v>
      </c>
      <c r="G230" t="s">
        <v>31</v>
      </c>
      <c r="H230">
        <v>26</v>
      </c>
      <c r="I230">
        <v>3026</v>
      </c>
      <c r="J230" s="21">
        <v>44646</v>
      </c>
      <c r="K230" s="21" t="str">
        <f t="shared" si="12"/>
        <v>Mar</v>
      </c>
      <c r="L230">
        <f t="shared" si="13"/>
        <v>2022</v>
      </c>
      <c r="M230" s="23">
        <v>1170</v>
      </c>
      <c r="N230" s="23">
        <v>1800</v>
      </c>
      <c r="O230">
        <v>1</v>
      </c>
      <c r="P230" s="16">
        <f t="shared" si="14"/>
        <v>1800</v>
      </c>
      <c r="Q230" s="23"/>
      <c r="R230" s="23">
        <f t="shared" si="15"/>
        <v>1800</v>
      </c>
      <c r="S230" t="s">
        <v>23</v>
      </c>
      <c r="T230" t="s">
        <v>24</v>
      </c>
    </row>
    <row r="231" spans="1:20">
      <c r="A231">
        <v>1230</v>
      </c>
      <c r="B231">
        <v>2027</v>
      </c>
      <c r="C231" t="s">
        <v>70</v>
      </c>
      <c r="D231" t="s">
        <v>71</v>
      </c>
      <c r="E231" t="s">
        <v>20</v>
      </c>
      <c r="F231" t="s">
        <v>69</v>
      </c>
      <c r="G231" t="s">
        <v>26</v>
      </c>
      <c r="H231">
        <v>30</v>
      </c>
      <c r="I231">
        <v>3027</v>
      </c>
      <c r="J231" s="21">
        <v>44647</v>
      </c>
      <c r="K231" s="21" t="str">
        <f t="shared" si="12"/>
        <v>Mar</v>
      </c>
      <c r="L231">
        <f t="shared" si="13"/>
        <v>2022</v>
      </c>
      <c r="M231" s="23">
        <v>1656</v>
      </c>
      <c r="N231" s="23">
        <v>2300</v>
      </c>
      <c r="O231">
        <v>2</v>
      </c>
      <c r="P231" s="16">
        <f t="shared" si="14"/>
        <v>4600</v>
      </c>
      <c r="Q231" s="23"/>
      <c r="R231" s="23">
        <f t="shared" si="15"/>
        <v>4600</v>
      </c>
      <c r="S231" t="s">
        <v>28</v>
      </c>
      <c r="T231" t="s">
        <v>24</v>
      </c>
    </row>
    <row r="232" spans="1:20">
      <c r="A232">
        <v>1231</v>
      </c>
      <c r="B232">
        <v>2028</v>
      </c>
      <c r="C232" t="s">
        <v>72</v>
      </c>
      <c r="D232" t="s">
        <v>73</v>
      </c>
      <c r="E232" t="s">
        <v>20</v>
      </c>
      <c r="F232" t="s">
        <v>69</v>
      </c>
      <c r="G232" t="s">
        <v>31</v>
      </c>
      <c r="H232">
        <v>28</v>
      </c>
      <c r="I232">
        <v>3028</v>
      </c>
      <c r="J232" s="21">
        <v>44648</v>
      </c>
      <c r="K232" s="21" t="str">
        <f t="shared" si="12"/>
        <v>Mar</v>
      </c>
      <c r="L232">
        <f t="shared" si="13"/>
        <v>2022</v>
      </c>
      <c r="M232" s="23">
        <v>1872</v>
      </c>
      <c r="N232" s="23">
        <v>2600</v>
      </c>
      <c r="O232">
        <v>1</v>
      </c>
      <c r="P232" s="16">
        <f t="shared" si="14"/>
        <v>2600</v>
      </c>
      <c r="Q232" s="23"/>
      <c r="R232" s="23">
        <f t="shared" si="15"/>
        <v>2600</v>
      </c>
      <c r="S232" t="s">
        <v>23</v>
      </c>
      <c r="T232" t="s">
        <v>29</v>
      </c>
    </row>
    <row r="233" spans="1:20">
      <c r="A233">
        <v>1232</v>
      </c>
      <c r="B233">
        <v>2041</v>
      </c>
      <c r="C233" t="s">
        <v>75</v>
      </c>
      <c r="D233" t="s">
        <v>76</v>
      </c>
      <c r="E233" t="s">
        <v>20</v>
      </c>
      <c r="F233" t="s">
        <v>74</v>
      </c>
      <c r="G233" t="s">
        <v>26</v>
      </c>
      <c r="H233">
        <v>32</v>
      </c>
      <c r="I233">
        <v>3041</v>
      </c>
      <c r="J233" s="21">
        <v>44631</v>
      </c>
      <c r="K233" s="21" t="str">
        <f t="shared" si="12"/>
        <v>Mar</v>
      </c>
      <c r="L233">
        <f t="shared" si="13"/>
        <v>2022</v>
      </c>
      <c r="M233" s="23">
        <v>780</v>
      </c>
      <c r="N233" s="23">
        <v>1300</v>
      </c>
      <c r="O233">
        <v>2</v>
      </c>
      <c r="P233" s="16">
        <f t="shared" si="14"/>
        <v>2600</v>
      </c>
      <c r="Q233" s="23"/>
      <c r="R233" s="23">
        <f t="shared" si="15"/>
        <v>2600</v>
      </c>
      <c r="S233" t="s">
        <v>23</v>
      </c>
      <c r="T233" t="s">
        <v>24</v>
      </c>
    </row>
    <row r="234" spans="1:20">
      <c r="A234">
        <v>1233</v>
      </c>
      <c r="B234">
        <v>2042</v>
      </c>
      <c r="C234" t="s">
        <v>77</v>
      </c>
      <c r="D234" t="s">
        <v>78</v>
      </c>
      <c r="E234" t="s">
        <v>20</v>
      </c>
      <c r="F234" t="s">
        <v>74</v>
      </c>
      <c r="G234" t="s">
        <v>31</v>
      </c>
      <c r="H234">
        <v>29</v>
      </c>
      <c r="I234">
        <v>3042</v>
      </c>
      <c r="J234" s="21">
        <v>44632</v>
      </c>
      <c r="K234" s="21" t="str">
        <f t="shared" si="12"/>
        <v>Mar</v>
      </c>
      <c r="L234">
        <f t="shared" si="13"/>
        <v>2022</v>
      </c>
      <c r="M234" s="23">
        <v>960</v>
      </c>
      <c r="N234" s="23">
        <v>1600</v>
      </c>
      <c r="O234">
        <v>1</v>
      </c>
      <c r="P234" s="16">
        <f t="shared" si="14"/>
        <v>1600</v>
      </c>
      <c r="Q234" s="23"/>
      <c r="R234" s="23">
        <f t="shared" si="15"/>
        <v>1600</v>
      </c>
      <c r="S234" t="s">
        <v>28</v>
      </c>
      <c r="T234" t="s">
        <v>29</v>
      </c>
    </row>
    <row r="235" spans="1:20">
      <c r="A235">
        <v>1234</v>
      </c>
      <c r="B235">
        <v>2043</v>
      </c>
      <c r="C235" t="s">
        <v>80</v>
      </c>
      <c r="D235" t="s">
        <v>81</v>
      </c>
      <c r="E235" t="s">
        <v>32</v>
      </c>
      <c r="F235" t="s">
        <v>79</v>
      </c>
      <c r="G235" t="s">
        <v>26</v>
      </c>
      <c r="H235">
        <v>21</v>
      </c>
      <c r="I235">
        <v>3043</v>
      </c>
      <c r="J235" s="21">
        <v>44633</v>
      </c>
      <c r="K235" s="21" t="str">
        <f t="shared" si="12"/>
        <v>Mar</v>
      </c>
      <c r="L235">
        <f t="shared" si="13"/>
        <v>2022</v>
      </c>
      <c r="M235" s="23">
        <v>1292</v>
      </c>
      <c r="N235" s="23">
        <v>1900</v>
      </c>
      <c r="O235">
        <v>3</v>
      </c>
      <c r="P235" s="16">
        <f t="shared" si="14"/>
        <v>5700</v>
      </c>
      <c r="Q235" s="23"/>
      <c r="R235" s="23">
        <f t="shared" si="15"/>
        <v>5700</v>
      </c>
      <c r="S235" t="s">
        <v>23</v>
      </c>
      <c r="T235" t="s">
        <v>35</v>
      </c>
    </row>
    <row r="236" spans="1:20">
      <c r="A236">
        <v>1235</v>
      </c>
      <c r="B236">
        <v>2044</v>
      </c>
      <c r="C236" t="s">
        <v>82</v>
      </c>
      <c r="D236" t="s">
        <v>83</v>
      </c>
      <c r="E236" t="s">
        <v>32</v>
      </c>
      <c r="F236" t="s">
        <v>79</v>
      </c>
      <c r="G236" t="s">
        <v>31</v>
      </c>
      <c r="H236">
        <v>19</v>
      </c>
      <c r="I236">
        <v>3044</v>
      </c>
      <c r="J236" s="21">
        <v>44634</v>
      </c>
      <c r="K236" s="21" t="str">
        <f t="shared" si="12"/>
        <v>Mar</v>
      </c>
      <c r="L236">
        <f t="shared" si="13"/>
        <v>2022</v>
      </c>
      <c r="M236" s="23">
        <v>1496</v>
      </c>
      <c r="N236" s="23">
        <v>2200</v>
      </c>
      <c r="O236">
        <v>1</v>
      </c>
      <c r="P236" s="16">
        <f t="shared" si="14"/>
        <v>2200</v>
      </c>
      <c r="Q236" s="23"/>
      <c r="R236" s="23">
        <f t="shared" si="15"/>
        <v>2200</v>
      </c>
      <c r="S236" t="s">
        <v>23</v>
      </c>
      <c r="T236" t="s">
        <v>24</v>
      </c>
    </row>
    <row r="237" spans="1:20">
      <c r="A237">
        <v>1236</v>
      </c>
      <c r="B237">
        <v>2045</v>
      </c>
      <c r="C237" t="s">
        <v>85</v>
      </c>
      <c r="D237" t="s">
        <v>86</v>
      </c>
      <c r="E237" t="s">
        <v>40</v>
      </c>
      <c r="F237" t="s">
        <v>84</v>
      </c>
      <c r="G237" t="s">
        <v>26</v>
      </c>
      <c r="H237">
        <v>36</v>
      </c>
      <c r="I237">
        <v>3045</v>
      </c>
      <c r="J237" s="21">
        <v>44635</v>
      </c>
      <c r="K237" s="21" t="str">
        <f t="shared" si="12"/>
        <v>Mar</v>
      </c>
      <c r="L237">
        <f t="shared" si="13"/>
        <v>2022</v>
      </c>
      <c r="M237" s="23">
        <v>1340</v>
      </c>
      <c r="N237" s="23">
        <v>2000</v>
      </c>
      <c r="O237">
        <v>2</v>
      </c>
      <c r="P237" s="16">
        <f t="shared" si="14"/>
        <v>4000</v>
      </c>
      <c r="Q237" s="23"/>
      <c r="R237" s="23">
        <f t="shared" si="15"/>
        <v>4000</v>
      </c>
      <c r="S237" t="s">
        <v>28</v>
      </c>
      <c r="T237" t="s">
        <v>29</v>
      </c>
    </row>
    <row r="238" spans="1:20">
      <c r="A238">
        <v>1237</v>
      </c>
      <c r="B238">
        <v>2046</v>
      </c>
      <c r="C238" t="s">
        <v>87</v>
      </c>
      <c r="D238" t="s">
        <v>88</v>
      </c>
      <c r="E238" t="s">
        <v>40</v>
      </c>
      <c r="F238" t="s">
        <v>84</v>
      </c>
      <c r="G238" t="s">
        <v>31</v>
      </c>
      <c r="H238">
        <v>34</v>
      </c>
      <c r="I238">
        <v>3046</v>
      </c>
      <c r="J238" s="21">
        <v>44636</v>
      </c>
      <c r="K238" s="21" t="str">
        <f t="shared" si="12"/>
        <v>Mar</v>
      </c>
      <c r="L238">
        <f t="shared" si="13"/>
        <v>2022</v>
      </c>
      <c r="M238" s="23">
        <v>1541</v>
      </c>
      <c r="N238" s="23">
        <v>2300</v>
      </c>
      <c r="O238">
        <v>1</v>
      </c>
      <c r="P238" s="16">
        <f t="shared" si="14"/>
        <v>2300</v>
      </c>
      <c r="Q238" s="23"/>
      <c r="R238" s="23">
        <f t="shared" si="15"/>
        <v>2300</v>
      </c>
      <c r="S238" t="s">
        <v>23</v>
      </c>
      <c r="T238" t="s">
        <v>24</v>
      </c>
    </row>
    <row r="239" spans="1:20">
      <c r="A239">
        <v>1238</v>
      </c>
      <c r="B239">
        <v>2047</v>
      </c>
      <c r="C239" t="s">
        <v>90</v>
      </c>
      <c r="D239" t="s">
        <v>91</v>
      </c>
      <c r="E239" t="s">
        <v>20</v>
      </c>
      <c r="F239" t="s">
        <v>89</v>
      </c>
      <c r="G239" t="s">
        <v>26</v>
      </c>
      <c r="H239">
        <v>40</v>
      </c>
      <c r="I239">
        <v>3047</v>
      </c>
      <c r="J239" s="21">
        <v>44637</v>
      </c>
      <c r="K239" s="21" t="str">
        <f t="shared" si="12"/>
        <v>Mar</v>
      </c>
      <c r="L239">
        <f t="shared" si="13"/>
        <v>2022</v>
      </c>
      <c r="M239" s="23">
        <v>2250</v>
      </c>
      <c r="N239" s="23">
        <v>3000</v>
      </c>
      <c r="O239">
        <v>2</v>
      </c>
      <c r="P239" s="16">
        <f t="shared" si="14"/>
        <v>6000</v>
      </c>
      <c r="Q239" s="23"/>
      <c r="R239" s="23">
        <f t="shared" si="15"/>
        <v>6000</v>
      </c>
      <c r="S239" t="s">
        <v>28</v>
      </c>
      <c r="T239" t="s">
        <v>24</v>
      </c>
    </row>
    <row r="240" spans="1:20">
      <c r="A240">
        <v>1239</v>
      </c>
      <c r="B240">
        <v>2048</v>
      </c>
      <c r="C240" t="s">
        <v>92</v>
      </c>
      <c r="D240" t="s">
        <v>93</v>
      </c>
      <c r="E240" t="s">
        <v>20</v>
      </c>
      <c r="F240" t="s">
        <v>89</v>
      </c>
      <c r="G240" t="s">
        <v>31</v>
      </c>
      <c r="H240">
        <v>38</v>
      </c>
      <c r="I240">
        <v>3048</v>
      </c>
      <c r="J240" s="21">
        <v>44638</v>
      </c>
      <c r="K240" s="21" t="str">
        <f t="shared" si="12"/>
        <v>Mar</v>
      </c>
      <c r="L240">
        <f t="shared" si="13"/>
        <v>2022</v>
      </c>
      <c r="M240" s="23">
        <v>2625</v>
      </c>
      <c r="N240" s="23">
        <v>3500</v>
      </c>
      <c r="O240">
        <v>1</v>
      </c>
      <c r="P240" s="16">
        <f t="shared" si="14"/>
        <v>3500</v>
      </c>
      <c r="Q240" s="23"/>
      <c r="R240" s="23">
        <f t="shared" si="15"/>
        <v>3500</v>
      </c>
      <c r="S240" t="s">
        <v>23</v>
      </c>
      <c r="T240" t="s">
        <v>29</v>
      </c>
    </row>
    <row r="241" spans="1:20">
      <c r="A241">
        <v>1240</v>
      </c>
      <c r="B241">
        <v>2061</v>
      </c>
      <c r="C241" t="s">
        <v>96</v>
      </c>
      <c r="D241" t="s">
        <v>97</v>
      </c>
      <c r="E241" t="s">
        <v>94</v>
      </c>
      <c r="F241" t="s">
        <v>95</v>
      </c>
      <c r="G241" t="s">
        <v>26</v>
      </c>
      <c r="H241">
        <v>35</v>
      </c>
      <c r="I241">
        <v>3061</v>
      </c>
      <c r="J241" s="21">
        <v>44621</v>
      </c>
      <c r="K241" s="21" t="str">
        <f t="shared" si="12"/>
        <v>Mar</v>
      </c>
      <c r="L241">
        <f t="shared" si="13"/>
        <v>2022</v>
      </c>
      <c r="M241" s="23">
        <v>1460</v>
      </c>
      <c r="N241" s="23">
        <v>2000</v>
      </c>
      <c r="O241">
        <v>2</v>
      </c>
      <c r="P241" s="16">
        <f t="shared" si="14"/>
        <v>4000</v>
      </c>
      <c r="Q241" s="23"/>
      <c r="R241" s="23">
        <f t="shared" si="15"/>
        <v>4000</v>
      </c>
      <c r="S241" t="s">
        <v>23</v>
      </c>
      <c r="T241" t="s">
        <v>24</v>
      </c>
    </row>
    <row r="242" spans="1:20">
      <c r="A242">
        <v>1241</v>
      </c>
      <c r="B242">
        <v>2062</v>
      </c>
      <c r="C242" t="s">
        <v>98</v>
      </c>
      <c r="D242" t="s">
        <v>99</v>
      </c>
      <c r="E242" t="s">
        <v>94</v>
      </c>
      <c r="F242" t="s">
        <v>95</v>
      </c>
      <c r="G242" t="s">
        <v>31</v>
      </c>
      <c r="H242">
        <v>33</v>
      </c>
      <c r="I242">
        <v>3062</v>
      </c>
      <c r="J242" s="21">
        <v>44622</v>
      </c>
      <c r="K242" s="21" t="str">
        <f t="shared" si="12"/>
        <v>Mar</v>
      </c>
      <c r="L242">
        <f t="shared" si="13"/>
        <v>2022</v>
      </c>
      <c r="M242" s="23">
        <v>1825</v>
      </c>
      <c r="N242" s="23">
        <v>2500</v>
      </c>
      <c r="O242">
        <v>1</v>
      </c>
      <c r="P242" s="16">
        <f t="shared" si="14"/>
        <v>2500</v>
      </c>
      <c r="Q242" s="23"/>
      <c r="R242" s="23">
        <f t="shared" si="15"/>
        <v>2500</v>
      </c>
      <c r="S242" t="s">
        <v>28</v>
      </c>
      <c r="T242" t="s">
        <v>29</v>
      </c>
    </row>
    <row r="243" spans="1:20">
      <c r="A243">
        <v>1242</v>
      </c>
      <c r="B243">
        <v>2063</v>
      </c>
      <c r="C243" t="s">
        <v>101</v>
      </c>
      <c r="D243" t="s">
        <v>102</v>
      </c>
      <c r="E243" t="s">
        <v>32</v>
      </c>
      <c r="F243" t="s">
        <v>100</v>
      </c>
      <c r="G243" t="s">
        <v>26</v>
      </c>
      <c r="H243">
        <v>22</v>
      </c>
      <c r="I243">
        <v>3063</v>
      </c>
      <c r="J243" s="21">
        <v>44623</v>
      </c>
      <c r="K243" s="21" t="str">
        <f t="shared" si="12"/>
        <v>Mar</v>
      </c>
      <c r="L243">
        <f t="shared" si="13"/>
        <v>2022</v>
      </c>
      <c r="M243" s="23">
        <v>1105</v>
      </c>
      <c r="N243" s="23">
        <v>1700</v>
      </c>
      <c r="O243">
        <v>3</v>
      </c>
      <c r="P243" s="16">
        <f t="shared" si="14"/>
        <v>5100</v>
      </c>
      <c r="Q243" s="23"/>
      <c r="R243" s="23">
        <f t="shared" si="15"/>
        <v>5100</v>
      </c>
      <c r="S243" t="s">
        <v>23</v>
      </c>
      <c r="T243" t="s">
        <v>35</v>
      </c>
    </row>
    <row r="244" spans="1:20">
      <c r="A244">
        <v>1243</v>
      </c>
      <c r="B244">
        <v>2064</v>
      </c>
      <c r="C244" t="s">
        <v>103</v>
      </c>
      <c r="D244" t="s">
        <v>104</v>
      </c>
      <c r="E244" t="s">
        <v>32</v>
      </c>
      <c r="F244" t="s">
        <v>100</v>
      </c>
      <c r="G244" t="s">
        <v>31</v>
      </c>
      <c r="H244">
        <v>20</v>
      </c>
      <c r="I244">
        <v>3064</v>
      </c>
      <c r="J244" s="21">
        <v>44624</v>
      </c>
      <c r="K244" s="21" t="str">
        <f t="shared" si="12"/>
        <v>Mar</v>
      </c>
      <c r="L244">
        <f t="shared" si="13"/>
        <v>2022</v>
      </c>
      <c r="M244" s="23">
        <v>1365</v>
      </c>
      <c r="N244" s="23">
        <v>2100</v>
      </c>
      <c r="O244">
        <v>1</v>
      </c>
      <c r="P244" s="16">
        <f t="shared" si="14"/>
        <v>2100</v>
      </c>
      <c r="Q244" s="23"/>
      <c r="R244" s="23">
        <f t="shared" si="15"/>
        <v>2100</v>
      </c>
      <c r="S244" t="s">
        <v>23</v>
      </c>
      <c r="T244" t="s">
        <v>24</v>
      </c>
    </row>
    <row r="245" spans="1:20">
      <c r="A245">
        <v>1244</v>
      </c>
      <c r="B245">
        <v>2065</v>
      </c>
      <c r="C245" t="s">
        <v>106</v>
      </c>
      <c r="D245" t="s">
        <v>107</v>
      </c>
      <c r="E245" t="s">
        <v>40</v>
      </c>
      <c r="F245" t="s">
        <v>105</v>
      </c>
      <c r="G245" t="s">
        <v>26</v>
      </c>
      <c r="H245">
        <v>30</v>
      </c>
      <c r="I245">
        <v>3065</v>
      </c>
      <c r="J245" s="21">
        <v>44625</v>
      </c>
      <c r="K245" s="21" t="str">
        <f t="shared" si="12"/>
        <v>Mar</v>
      </c>
      <c r="L245">
        <f t="shared" si="13"/>
        <v>2022</v>
      </c>
      <c r="M245" s="23">
        <v>1035</v>
      </c>
      <c r="N245" s="23">
        <v>1500</v>
      </c>
      <c r="O245">
        <v>2</v>
      </c>
      <c r="P245" s="16">
        <f t="shared" si="14"/>
        <v>3000</v>
      </c>
      <c r="Q245" s="23"/>
      <c r="R245" s="23">
        <f t="shared" si="15"/>
        <v>3000</v>
      </c>
      <c r="S245" t="s">
        <v>28</v>
      </c>
      <c r="T245" t="s">
        <v>29</v>
      </c>
    </row>
    <row r="246" spans="1:20">
      <c r="A246">
        <v>1245</v>
      </c>
      <c r="B246">
        <v>2066</v>
      </c>
      <c r="C246" t="s">
        <v>108</v>
      </c>
      <c r="D246" t="s">
        <v>109</v>
      </c>
      <c r="E246" t="s">
        <v>40</v>
      </c>
      <c r="F246" t="s">
        <v>105</v>
      </c>
      <c r="G246" t="s">
        <v>31</v>
      </c>
      <c r="H246">
        <v>28</v>
      </c>
      <c r="I246">
        <v>3066</v>
      </c>
      <c r="J246" s="21">
        <v>44626</v>
      </c>
      <c r="K246" s="21" t="str">
        <f t="shared" si="12"/>
        <v>Mar</v>
      </c>
      <c r="L246">
        <f t="shared" si="13"/>
        <v>2022</v>
      </c>
      <c r="M246" s="23">
        <v>1242</v>
      </c>
      <c r="N246" s="23">
        <v>1800</v>
      </c>
      <c r="O246">
        <v>1</v>
      </c>
      <c r="P246" s="16">
        <f t="shared" si="14"/>
        <v>1800</v>
      </c>
      <c r="Q246" s="23"/>
      <c r="R246" s="23">
        <f t="shared" si="15"/>
        <v>1800</v>
      </c>
      <c r="S246" t="s">
        <v>23</v>
      </c>
      <c r="T246" t="s">
        <v>24</v>
      </c>
    </row>
    <row r="247" spans="1:20">
      <c r="J247" s="21"/>
      <c r="K247" s="21" t="str">
        <f t="shared" si="12"/>
        <v>Jan</v>
      </c>
      <c r="L247">
        <f t="shared" si="13"/>
        <v>1900</v>
      </c>
      <c r="M247" s="24"/>
      <c r="N247" s="24"/>
      <c r="P247" s="25">
        <f t="shared" si="14"/>
        <v>0</v>
      </c>
      <c r="Q247" s="24"/>
      <c r="R247" s="24">
        <f t="shared" si="15"/>
        <v>0</v>
      </c>
    </row>
  </sheetData>
  <pageMargins left="0.75" right="0.75" top="1" bottom="1" header="0.5" footer="0.5"/>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tabSelected="1" topLeftCell="A7" workbookViewId="0">
      <selection activeCell="R13" sqref="R13"/>
    </sheetView>
  </sheetViews>
  <sheetFormatPr defaultColWidth="9" defaultRowHeight="15"/>
  <cols>
    <col min="1" max="1" width="16.5703125" bestFit="1" customWidth="1"/>
    <col min="2" max="2" width="7.28515625" bestFit="1" customWidth="1"/>
    <col min="3" max="3" width="16.5703125" bestFit="1" customWidth="1"/>
    <col min="4" max="4" width="24.7109375" bestFit="1" customWidth="1"/>
    <col min="5" max="5" width="24.140625" bestFit="1" customWidth="1"/>
    <col min="6" max="6" width="7.28515625" bestFit="1" customWidth="1"/>
    <col min="7" max="7" width="20.7109375" customWidth="1"/>
    <col min="8" max="8" width="21.42578125" bestFit="1" customWidth="1"/>
    <col min="9" max="9" width="14.28515625" bestFit="1" customWidth="1"/>
    <col min="10" max="10" width="16.5703125" bestFit="1" customWidth="1"/>
    <col min="11" max="11" width="12.5703125" bestFit="1" customWidth="1"/>
    <col min="12" max="12" width="19.140625" customWidth="1"/>
    <col min="13" max="13" width="17.85546875" customWidth="1"/>
    <col min="14" max="53" width="10.7109375" customWidth="1"/>
    <col min="54" max="54" width="11.28515625" customWidth="1"/>
  </cols>
  <sheetData>
    <row r="1" spans="1:10">
      <c r="A1" s="31" t="s">
        <v>155</v>
      </c>
      <c r="B1" s="32"/>
      <c r="C1" s="32"/>
      <c r="D1" s="32"/>
      <c r="E1" s="32"/>
      <c r="F1" s="32"/>
      <c r="G1" s="32"/>
      <c r="H1" s="32"/>
      <c r="I1" s="32"/>
      <c r="J1" s="32"/>
    </row>
    <row r="2" spans="1:10">
      <c r="A2" s="32"/>
      <c r="B2" s="32"/>
      <c r="C2" s="32"/>
      <c r="D2" s="32"/>
      <c r="E2" s="32"/>
      <c r="F2" s="32"/>
      <c r="G2" s="32"/>
      <c r="H2" s="32"/>
      <c r="I2" s="32"/>
      <c r="J2" s="32"/>
    </row>
    <row r="4" spans="1:10">
      <c r="A4" s="4" t="s">
        <v>156</v>
      </c>
      <c r="B4" s="5"/>
      <c r="D4" s="6" t="s">
        <v>157</v>
      </c>
      <c r="E4" s="7"/>
      <c r="F4" s="7"/>
      <c r="H4" s="6" t="s">
        <v>178</v>
      </c>
    </row>
    <row r="6" spans="1:10">
      <c r="A6" t="s">
        <v>159</v>
      </c>
      <c r="B6" s="8" t="s">
        <v>160</v>
      </c>
      <c r="E6" s="28" t="s">
        <v>13</v>
      </c>
      <c r="H6" s="28" t="s">
        <v>170</v>
      </c>
    </row>
    <row r="7" spans="1:10">
      <c r="A7" s="34">
        <v>245</v>
      </c>
      <c r="B7" s="9">
        <f>COUNTA(_xlfn.UNIQUE('Clean data'!I2:I246))</f>
        <v>48</v>
      </c>
      <c r="E7" t="s">
        <v>23</v>
      </c>
      <c r="F7" t="s">
        <v>28</v>
      </c>
      <c r="H7" t="s">
        <v>171</v>
      </c>
      <c r="I7" t="s">
        <v>172</v>
      </c>
      <c r="J7" t="s">
        <v>177</v>
      </c>
    </row>
    <row r="8" spans="1:10">
      <c r="D8" t="s">
        <v>161</v>
      </c>
      <c r="E8" s="10">
        <v>0.62040816326530612</v>
      </c>
      <c r="F8" s="10">
        <v>0.37959183673469388</v>
      </c>
      <c r="H8" s="30">
        <v>330608</v>
      </c>
      <c r="I8" s="30">
        <v>477250</v>
      </c>
      <c r="J8" s="30">
        <v>146642</v>
      </c>
    </row>
    <row r="11" spans="1:10">
      <c r="A11" s="6" t="s">
        <v>163</v>
      </c>
      <c r="B11" s="7"/>
      <c r="C11" s="7"/>
      <c r="F11" s="6" t="s">
        <v>164</v>
      </c>
      <c r="G11" s="7"/>
      <c r="I11" s="6" t="s">
        <v>158</v>
      </c>
      <c r="J11" s="6"/>
    </row>
    <row r="13" spans="1:10">
      <c r="A13" s="28" t="s">
        <v>6</v>
      </c>
      <c r="B13" s="28" t="s">
        <v>5</v>
      </c>
      <c r="C13" t="s">
        <v>165</v>
      </c>
      <c r="F13" s="29" t="s">
        <v>1</v>
      </c>
      <c r="G13" t="s">
        <v>165</v>
      </c>
      <c r="I13" s="28" t="s">
        <v>14</v>
      </c>
      <c r="J13" t="s">
        <v>159</v>
      </c>
    </row>
    <row r="14" spans="1:10">
      <c r="A14">
        <v>2022</v>
      </c>
      <c r="B14" t="s">
        <v>166</v>
      </c>
      <c r="C14" s="12">
        <v>97300</v>
      </c>
      <c r="F14" s="11" t="s">
        <v>20</v>
      </c>
      <c r="G14" s="13">
        <v>283900</v>
      </c>
      <c r="I14" t="s">
        <v>35</v>
      </c>
      <c r="J14" s="14">
        <v>31</v>
      </c>
    </row>
    <row r="15" spans="1:10">
      <c r="B15" t="s">
        <v>167</v>
      </c>
      <c r="C15" s="12">
        <v>108600</v>
      </c>
      <c r="F15" s="11" t="s">
        <v>32</v>
      </c>
      <c r="G15" s="13">
        <v>239300</v>
      </c>
      <c r="I15" t="s">
        <v>29</v>
      </c>
      <c r="J15" s="14">
        <v>91</v>
      </c>
    </row>
    <row r="16" spans="1:10">
      <c r="B16" t="s">
        <v>168</v>
      </c>
      <c r="C16" s="12">
        <v>110700</v>
      </c>
      <c r="F16" s="11" t="s">
        <v>40</v>
      </c>
      <c r="G16" s="13">
        <v>155600</v>
      </c>
      <c r="I16" t="s">
        <v>24</v>
      </c>
      <c r="J16" s="14">
        <v>123</v>
      </c>
    </row>
    <row r="17" spans="1:10">
      <c r="A17" t="s">
        <v>169</v>
      </c>
      <c r="C17" s="12">
        <v>316600</v>
      </c>
      <c r="F17" s="11" t="s">
        <v>94</v>
      </c>
      <c r="G17" s="13">
        <v>62800</v>
      </c>
      <c r="I17" t="s">
        <v>162</v>
      </c>
      <c r="J17" s="14">
        <v>245</v>
      </c>
    </row>
    <row r="18" spans="1:10">
      <c r="A18">
        <v>2023</v>
      </c>
      <c r="B18" t="s">
        <v>166</v>
      </c>
      <c r="C18" s="12">
        <v>137600</v>
      </c>
      <c r="F18" t="s">
        <v>113</v>
      </c>
      <c r="G18" s="12">
        <v>7800</v>
      </c>
    </row>
    <row r="19" spans="1:10">
      <c r="B19" t="s">
        <v>167</v>
      </c>
      <c r="C19" s="12">
        <v>139500</v>
      </c>
      <c r="F19" t="s">
        <v>139</v>
      </c>
      <c r="G19" s="12">
        <v>1800</v>
      </c>
    </row>
    <row r="20" spans="1:10">
      <c r="B20" t="s">
        <v>168</v>
      </c>
      <c r="C20" s="12">
        <v>158000</v>
      </c>
      <c r="F20" t="s">
        <v>133</v>
      </c>
      <c r="G20" s="12">
        <v>500</v>
      </c>
    </row>
    <row r="21" spans="1:10">
      <c r="A21" t="s">
        <v>179</v>
      </c>
      <c r="C21" s="12">
        <v>435100</v>
      </c>
      <c r="F21" t="s">
        <v>162</v>
      </c>
      <c r="G21" s="12">
        <v>751700</v>
      </c>
    </row>
    <row r="22" spans="1:10">
      <c r="A22" t="s">
        <v>162</v>
      </c>
      <c r="C22" s="12">
        <v>751700</v>
      </c>
    </row>
    <row r="24" spans="1:10">
      <c r="A24" s="7" t="s">
        <v>173</v>
      </c>
      <c r="B24" s="7"/>
      <c r="C24" s="7"/>
      <c r="E24" s="6" t="s">
        <v>176</v>
      </c>
      <c r="F24" s="7"/>
      <c r="G24" s="7"/>
      <c r="I24" s="6" t="s">
        <v>174</v>
      </c>
      <c r="J24" s="7"/>
    </row>
    <row r="26" spans="1:10">
      <c r="A26" s="28" t="s">
        <v>5</v>
      </c>
      <c r="B26" s="28" t="s">
        <v>6</v>
      </c>
      <c r="C26" t="s">
        <v>159</v>
      </c>
      <c r="E26" s="28" t="s">
        <v>165</v>
      </c>
      <c r="F26" s="28" t="s">
        <v>6</v>
      </c>
      <c r="I26" s="28" t="s">
        <v>16</v>
      </c>
      <c r="J26" t="s">
        <v>175</v>
      </c>
    </row>
    <row r="27" spans="1:10">
      <c r="A27" t="s">
        <v>166</v>
      </c>
      <c r="B27">
        <v>2022</v>
      </c>
      <c r="C27" s="14">
        <v>32</v>
      </c>
      <c r="E27" s="28" t="s">
        <v>5</v>
      </c>
      <c r="F27">
        <v>2022</v>
      </c>
      <c r="G27">
        <v>2023</v>
      </c>
      <c r="I27">
        <v>3083</v>
      </c>
      <c r="J27" s="15">
        <v>8400</v>
      </c>
    </row>
    <row r="28" spans="1:10">
      <c r="B28">
        <v>2023</v>
      </c>
      <c r="C28" s="14">
        <v>45</v>
      </c>
      <c r="E28" t="s">
        <v>166</v>
      </c>
      <c r="F28" s="10"/>
      <c r="G28" s="10">
        <v>0.41418293936279549</v>
      </c>
      <c r="I28">
        <v>3067</v>
      </c>
      <c r="J28" s="15">
        <v>6400</v>
      </c>
    </row>
    <row r="29" spans="1:10">
      <c r="A29" t="s">
        <v>167</v>
      </c>
      <c r="B29">
        <v>2022</v>
      </c>
      <c r="C29" s="14">
        <v>34</v>
      </c>
      <c r="E29" t="s">
        <v>167</v>
      </c>
      <c r="F29" s="10"/>
      <c r="G29" s="10">
        <v>0.28453038674033149</v>
      </c>
      <c r="I29">
        <v>3047</v>
      </c>
      <c r="J29" s="15">
        <v>6000</v>
      </c>
    </row>
    <row r="30" spans="1:10">
      <c r="B30">
        <v>2023</v>
      </c>
      <c r="C30" s="14">
        <v>46</v>
      </c>
      <c r="E30" t="s">
        <v>168</v>
      </c>
      <c r="F30" s="10"/>
      <c r="G30" s="10">
        <v>0.42728093947606144</v>
      </c>
      <c r="I30">
        <v>3087</v>
      </c>
      <c r="J30" s="15">
        <v>5800</v>
      </c>
    </row>
    <row r="31" spans="1:10">
      <c r="A31" t="s">
        <v>168</v>
      </c>
      <c r="B31">
        <v>2022</v>
      </c>
      <c r="C31" s="14">
        <v>36</v>
      </c>
      <c r="E31" t="s">
        <v>162</v>
      </c>
      <c r="F31" s="10"/>
      <c r="G31" s="10">
        <v>0.3742893240682249</v>
      </c>
      <c r="I31">
        <v>3043</v>
      </c>
      <c r="J31" s="15">
        <v>5700</v>
      </c>
    </row>
    <row r="32" spans="1:10">
      <c r="B32">
        <v>2023</v>
      </c>
      <c r="C32" s="14">
        <v>52</v>
      </c>
      <c r="I32">
        <v>3003</v>
      </c>
      <c r="J32" s="15">
        <v>5400</v>
      </c>
    </row>
    <row r="33" spans="5:10">
      <c r="E33" s="28" t="s">
        <v>165</v>
      </c>
      <c r="F33" s="28" t="s">
        <v>6</v>
      </c>
      <c r="I33">
        <v>3063</v>
      </c>
      <c r="J33" s="15">
        <v>5100</v>
      </c>
    </row>
    <row r="34" spans="5:10">
      <c r="E34" s="28" t="s">
        <v>5</v>
      </c>
      <c r="F34">
        <v>2022</v>
      </c>
      <c r="G34">
        <v>2023</v>
      </c>
      <c r="I34">
        <v>3023</v>
      </c>
      <c r="J34" s="15">
        <v>5100</v>
      </c>
    </row>
    <row r="35" spans="5:10">
      <c r="E35" t="s">
        <v>166</v>
      </c>
      <c r="F35" s="33">
        <v>97300</v>
      </c>
      <c r="G35" s="33">
        <v>137600</v>
      </c>
      <c r="I35">
        <v>3027</v>
      </c>
      <c r="J35" s="15">
        <v>4600</v>
      </c>
    </row>
    <row r="36" spans="5:10">
      <c r="E36" t="s">
        <v>167</v>
      </c>
      <c r="F36" s="33">
        <v>108600</v>
      </c>
      <c r="G36" s="33">
        <v>139500</v>
      </c>
      <c r="I36">
        <v>3007</v>
      </c>
      <c r="J36" s="15">
        <v>4400</v>
      </c>
    </row>
    <row r="37" spans="5:10">
      <c r="E37" t="s">
        <v>168</v>
      </c>
      <c r="F37" s="33">
        <v>110700</v>
      </c>
      <c r="G37" s="33">
        <v>158000</v>
      </c>
      <c r="I37" t="s">
        <v>162</v>
      </c>
      <c r="J37" s="15">
        <v>5288.1355932203387</v>
      </c>
    </row>
    <row r="38" spans="5:10">
      <c r="E38" t="s">
        <v>162</v>
      </c>
      <c r="F38" s="33">
        <v>316600</v>
      </c>
      <c r="G38" s="33">
        <v>435100</v>
      </c>
    </row>
  </sheetData>
  <mergeCells count="1">
    <mergeCell ref="A1: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S15:V23"/>
  <sheetViews>
    <sheetView showGridLines="0" zoomScale="60" zoomScaleNormal="60" workbookViewId="0">
      <selection activeCell="U4" sqref="U4"/>
    </sheetView>
  </sheetViews>
  <sheetFormatPr defaultColWidth="9" defaultRowHeight="15"/>
  <cols>
    <col min="1" max="16" width="9" style="1"/>
    <col min="17" max="17" width="20" style="1" customWidth="1"/>
    <col min="18" max="18" width="25" style="1" customWidth="1"/>
    <col min="19" max="19" width="9" style="1"/>
    <col min="20" max="21" width="13.42578125" style="1" customWidth="1"/>
    <col min="22" max="22" width="9" style="1"/>
    <col min="23" max="23" width="16.85546875" style="1" customWidth="1"/>
    <col min="24" max="16384" width="9" style="1"/>
  </cols>
  <sheetData>
    <row r="15" spans="19:22">
      <c r="S15" s="2"/>
      <c r="V15" s="3"/>
    </row>
    <row r="16" spans="19:22">
      <c r="S16" s="2"/>
    </row>
    <row r="17" spans="19:19">
      <c r="S17" s="2"/>
    </row>
    <row r="18" spans="19:19">
      <c r="S18" s="2"/>
    </row>
    <row r="19" spans="19:19">
      <c r="S19" s="2"/>
    </row>
    <row r="20" spans="19:19">
      <c r="S20" s="2"/>
    </row>
    <row r="21" spans="19:19">
      <c r="S21" s="2"/>
    </row>
    <row r="22" spans="19:19">
      <c r="S22" s="2"/>
    </row>
    <row r="23" spans="19:19">
      <c r="S23" s="2"/>
    </row>
  </sheetData>
  <pageMargins left="0.7" right="0.7" top="0.75" bottom="0.75" header="0.3" footer="0.3"/>
  <pageSetup orientation="portrait"/>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3" ma:contentTypeDescription="Create a new document." ma:contentTypeScope="" ma:versionID="d6d948adb3d144107cfe4729b36cffcc">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9fbc5a941f941688c85ed9188582636e"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Status" ma:index="20" nillable="true" ma:displayName="Statu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SharedWithUsers xmlns="15179a99-4cef-4bac-ab20-a4c03d7ec5db">
      <UserInfo>
        <DisplayName/>
        <AccountId xsi:nil="true"/>
        <AccountType/>
      </UserInfo>
    </SharedWithUsers>
    <MediaLengthInSeconds xmlns="2aed4346-8012-4133-9837-e496d0f5c99a" xsi:nil="true"/>
    <Status xmlns="2aed4346-8012-4133-9837-e496d0f5c9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1C3E33-F758-44EC-8869-E7E6DBE6E0A7}">
  <ds:schemaRefs/>
</ds:datastoreItem>
</file>

<file path=customXml/itemProps2.xml><?xml version="1.0" encoding="utf-8"?>
<ds:datastoreItem xmlns:ds="http://schemas.openxmlformats.org/officeDocument/2006/customXml" ds:itemID="{7C0F115A-431B-4DE8-8A36-BE4E8E00EC55}">
  <ds:schemaRefs/>
</ds:datastoreItem>
</file>

<file path=customXml/itemProps3.xml><?xml version="1.0" encoding="utf-8"?>
<ds:datastoreItem xmlns:ds="http://schemas.openxmlformats.org/officeDocument/2006/customXml" ds:itemID="{5E81C907-F051-4E3D-9872-9A80AC2C58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vt:lpstr>
      <vt:lpstr>Clean data</vt:lpstr>
      <vt:lpstr>Analysis</vt:lpstr>
      <vt:lpstr>VIEW</vt:lpstr>
      <vt:lpstr>Sheet4</vt:lpstr>
      <vt:lpstr>COID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 Brennan</dc:creator>
  <cp:lastModifiedBy>HP</cp:lastModifiedBy>
  <dcterms:created xsi:type="dcterms:W3CDTF">2023-05-23T18:13:00Z</dcterms:created>
  <dcterms:modified xsi:type="dcterms:W3CDTF">2026-06-08T07:56:56Z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Order">
    <vt:r8>285400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ICV">
    <vt:lpwstr>4D2A9C058F3E4EDCB2746573B640EB1B_12</vt:lpwstr>
  </property>
  <property fmtid="{D5CDD505-2E9C-101B-9397-08002B2CF9AE}" pid="11" name="KSOProductBuildVer">
    <vt:lpwstr>1033-12.2.0.21179</vt:lpwstr>
  </property>
</Properties>
</file>