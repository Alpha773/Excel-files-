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utorial_data aalysis\"/>
    </mc:Choice>
  </mc:AlternateContent>
  <xr:revisionPtr revIDLastSave="0" documentId="13_ncr:1_{6B2DB6BC-B0BE-4F69-B1C0-2CA556EC2A4D}" xr6:coauthVersionLast="47" xr6:coauthVersionMax="47" xr10:uidLastSave="{00000000-0000-0000-0000-000000000000}"/>
  <bookViews>
    <workbookView xWindow="-120" yWindow="-120" windowWidth="20730" windowHeight="11160" tabRatio="500" activeTab="3" xr2:uid="{00000000-000D-0000-FFFF-FFFF00000000}"/>
  </bookViews>
  <sheets>
    <sheet name="Sheet1" sheetId="1" r:id="rId1"/>
    <sheet name="Dataset" sheetId="2" r:id="rId2"/>
    <sheet name="pivot analysis" sheetId="3" r:id="rId3"/>
    <sheet name="Calc field" sheetId="4" r:id="rId4"/>
  </sheets>
  <calcPr calcId="191029" concurrentCalc="0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4" l="1"/>
  <c r="C5" i="4"/>
  <c r="C8" i="4" a="1"/>
  <c r="C8" i="4"/>
  <c r="B9" i="4" a="1"/>
  <c r="B9" i="4"/>
  <c r="C9" i="4"/>
  <c r="D9" i="4"/>
  <c r="E9" i="4"/>
  <c r="F9" i="4"/>
  <c r="G9" i="4"/>
  <c r="H9" i="4"/>
  <c r="I9" i="4"/>
  <c r="J9" i="4"/>
  <c r="K9" i="4"/>
  <c r="L9" i="4"/>
  <c r="M9" i="4"/>
  <c r="N9" i="4"/>
  <c r="C10" i="4"/>
  <c r="D10" i="4"/>
  <c r="E10" i="4"/>
  <c r="F10" i="4"/>
  <c r="G10" i="4"/>
  <c r="H10" i="4"/>
  <c r="I10" i="4"/>
  <c r="J10" i="4"/>
  <c r="K10" i="4"/>
  <c r="L10" i="4"/>
  <c r="M10" i="4"/>
  <c r="N10" i="4"/>
  <c r="C11" i="4"/>
  <c r="D11" i="4"/>
  <c r="E11" i="4"/>
  <c r="F11" i="4"/>
  <c r="G11" i="4"/>
  <c r="H11" i="4"/>
  <c r="I11" i="4"/>
  <c r="J11" i="4"/>
  <c r="K11" i="4"/>
  <c r="L11" i="4"/>
  <c r="M11" i="4"/>
  <c r="N11" i="4"/>
  <c r="C12" i="4"/>
  <c r="D12" i="4"/>
  <c r="E12" i="4"/>
  <c r="F12" i="4"/>
  <c r="G12" i="4"/>
  <c r="H12" i="4"/>
  <c r="I12" i="4"/>
  <c r="J12" i="4"/>
  <c r="K12" i="4"/>
  <c r="L12" i="4"/>
  <c r="M12" i="4"/>
  <c r="N12" i="4"/>
  <c r="C13" i="4"/>
  <c r="D13" i="4"/>
  <c r="E13" i="4"/>
  <c r="F13" i="4"/>
  <c r="G13" i="4"/>
  <c r="H13" i="4"/>
  <c r="I13" i="4"/>
  <c r="J13" i="4"/>
  <c r="K13" i="4"/>
  <c r="L13" i="4"/>
  <c r="M13" i="4"/>
  <c r="N13" i="4"/>
  <c r="C14" i="4"/>
  <c r="D14" i="4"/>
  <c r="E14" i="4"/>
  <c r="F14" i="4"/>
  <c r="G14" i="4"/>
  <c r="H14" i="4"/>
  <c r="I14" i="4"/>
  <c r="J14" i="4"/>
  <c r="K14" i="4"/>
  <c r="L14" i="4"/>
  <c r="M14" i="4"/>
  <c r="N14" i="4"/>
  <c r="C15" i="4"/>
  <c r="D15" i="4"/>
  <c r="E15" i="4"/>
  <c r="F15" i="4"/>
  <c r="G15" i="4"/>
  <c r="H15" i="4"/>
  <c r="I15" i="4"/>
  <c r="J15" i="4"/>
  <c r="K15" i="4"/>
  <c r="L15" i="4"/>
  <c r="M15" i="4"/>
  <c r="N15" i="4"/>
  <c r="C16" i="4"/>
  <c r="D16" i="4"/>
  <c r="E16" i="4"/>
  <c r="F16" i="4"/>
  <c r="G16" i="4"/>
  <c r="H16" i="4"/>
  <c r="I16" i="4"/>
  <c r="J16" i="4"/>
  <c r="K16" i="4"/>
  <c r="L16" i="4"/>
  <c r="M16" i="4"/>
  <c r="N16" i="4"/>
  <c r="C17" i="4"/>
  <c r="D17" i="4"/>
  <c r="E17" i="4"/>
  <c r="F17" i="4"/>
  <c r="G17" i="4"/>
  <c r="H17" i="4"/>
  <c r="I17" i="4"/>
  <c r="J17" i="4"/>
  <c r="K17" i="4"/>
  <c r="L17" i="4"/>
  <c r="M17" i="4"/>
  <c r="N17" i="4"/>
  <c r="C18" i="4"/>
  <c r="D18" i="4"/>
  <c r="E18" i="4"/>
  <c r="F18" i="4"/>
  <c r="G18" i="4"/>
  <c r="H18" i="4"/>
  <c r="I18" i="4"/>
  <c r="J18" i="4"/>
  <c r="K18" i="4"/>
  <c r="L18" i="4"/>
  <c r="M18" i="4"/>
  <c r="N18" i="4"/>
  <c r="D19" i="4"/>
  <c r="E19" i="4"/>
  <c r="F19" i="4"/>
  <c r="G19" i="4"/>
  <c r="H19" i="4"/>
  <c r="I19" i="4"/>
  <c r="J19" i="4"/>
  <c r="K19" i="4"/>
  <c r="L19" i="4"/>
  <c r="M19" i="4"/>
  <c r="N19" i="4"/>
  <c r="M4" i="2" a="1"/>
  <c r="M4" i="2"/>
  <c r="I172" i="2"/>
  <c r="G172" i="2"/>
  <c r="I171" i="2"/>
  <c r="G171" i="2"/>
  <c r="I170" i="2"/>
  <c r="G170" i="2"/>
  <c r="I169" i="2"/>
  <c r="G169" i="2"/>
  <c r="I168" i="2"/>
  <c r="G168" i="2"/>
  <c r="I167" i="2"/>
  <c r="G167" i="2"/>
  <c r="I166" i="2"/>
  <c r="G166" i="2"/>
  <c r="I165" i="2"/>
  <c r="G165" i="2"/>
  <c r="I164" i="2"/>
  <c r="G164" i="2"/>
  <c r="I163" i="2"/>
  <c r="G163" i="2"/>
  <c r="I162" i="2"/>
  <c r="G162" i="2"/>
  <c r="I161" i="2"/>
  <c r="G161" i="2"/>
  <c r="I160" i="2"/>
  <c r="G160" i="2"/>
  <c r="I159" i="2"/>
  <c r="G159" i="2"/>
  <c r="I158" i="2"/>
  <c r="G158" i="2"/>
  <c r="I157" i="2"/>
  <c r="G157" i="2"/>
  <c r="I156" i="2"/>
  <c r="G156" i="2"/>
  <c r="I155" i="2"/>
  <c r="G155" i="2"/>
  <c r="I154" i="2"/>
  <c r="G154" i="2"/>
  <c r="I153" i="2"/>
  <c r="G153" i="2"/>
  <c r="I152" i="2"/>
  <c r="G152" i="2"/>
  <c r="I151" i="2"/>
  <c r="G151" i="2"/>
  <c r="I150" i="2"/>
  <c r="G150" i="2"/>
  <c r="I149" i="2"/>
  <c r="G149" i="2"/>
  <c r="I148" i="2"/>
  <c r="G148" i="2"/>
  <c r="I147" i="2"/>
  <c r="G147" i="2"/>
  <c r="I146" i="2"/>
  <c r="G146" i="2"/>
  <c r="I145" i="2"/>
  <c r="G145" i="2"/>
  <c r="I144" i="2"/>
  <c r="G144" i="2"/>
  <c r="I143" i="2"/>
  <c r="G143" i="2"/>
  <c r="I142" i="2"/>
  <c r="G142" i="2"/>
  <c r="I141" i="2"/>
  <c r="G141" i="2"/>
  <c r="I140" i="2"/>
  <c r="G140" i="2"/>
  <c r="I139" i="2"/>
  <c r="G139" i="2"/>
  <c r="I138" i="2"/>
  <c r="G138" i="2"/>
  <c r="I137" i="2"/>
  <c r="G137" i="2"/>
  <c r="I136" i="2"/>
  <c r="G136" i="2"/>
  <c r="I135" i="2"/>
  <c r="G135" i="2"/>
  <c r="I134" i="2"/>
  <c r="G134" i="2"/>
  <c r="I133" i="2"/>
  <c r="G133" i="2"/>
  <c r="I132" i="2"/>
  <c r="G132" i="2"/>
  <c r="I131" i="2"/>
  <c r="G131" i="2"/>
  <c r="I130" i="2"/>
  <c r="G130" i="2"/>
  <c r="I129" i="2"/>
  <c r="G129" i="2"/>
  <c r="I128" i="2"/>
  <c r="G128" i="2"/>
  <c r="I127" i="2"/>
  <c r="G127" i="2"/>
  <c r="I126" i="2"/>
  <c r="G126" i="2"/>
  <c r="I125" i="2"/>
  <c r="G125" i="2"/>
  <c r="I124" i="2"/>
  <c r="G124" i="2"/>
  <c r="I123" i="2"/>
  <c r="G123" i="2"/>
  <c r="I122" i="2"/>
  <c r="G122" i="2"/>
  <c r="I121" i="2"/>
  <c r="G121" i="2"/>
  <c r="I120" i="2"/>
  <c r="G120" i="2"/>
  <c r="I119" i="2"/>
  <c r="G119" i="2"/>
  <c r="I118" i="2"/>
  <c r="G118" i="2"/>
  <c r="I117" i="2"/>
  <c r="G117" i="2"/>
  <c r="I116" i="2"/>
  <c r="G116" i="2"/>
  <c r="I115" i="2"/>
  <c r="G115" i="2"/>
  <c r="I114" i="2"/>
  <c r="G114" i="2"/>
  <c r="I113" i="2"/>
  <c r="G113" i="2"/>
  <c r="I112" i="2"/>
  <c r="G112" i="2"/>
  <c r="I111" i="2"/>
  <c r="G111" i="2"/>
  <c r="I110" i="2"/>
  <c r="G110" i="2"/>
  <c r="I109" i="2"/>
  <c r="G109" i="2"/>
  <c r="I108" i="2"/>
  <c r="G108" i="2"/>
  <c r="I107" i="2"/>
  <c r="G107" i="2"/>
  <c r="I106" i="2"/>
  <c r="G106" i="2"/>
  <c r="I105" i="2"/>
  <c r="G105" i="2"/>
  <c r="I104" i="2"/>
  <c r="G104" i="2"/>
  <c r="I103" i="2"/>
  <c r="G103" i="2"/>
  <c r="I102" i="2"/>
  <c r="G102" i="2"/>
  <c r="I101" i="2"/>
  <c r="G101" i="2"/>
  <c r="I100" i="2"/>
  <c r="G100" i="2"/>
  <c r="I99" i="2"/>
  <c r="G99" i="2"/>
  <c r="I98" i="2"/>
  <c r="G98" i="2"/>
  <c r="I97" i="2"/>
  <c r="G97" i="2"/>
  <c r="I96" i="2"/>
  <c r="G96" i="2"/>
  <c r="I95" i="2"/>
  <c r="G95" i="2"/>
  <c r="I94" i="2"/>
  <c r="G94" i="2"/>
  <c r="I93" i="2"/>
  <c r="G93" i="2"/>
  <c r="I92" i="2"/>
  <c r="G92" i="2"/>
  <c r="I91" i="2"/>
  <c r="G91" i="2"/>
  <c r="I90" i="2"/>
  <c r="G90" i="2"/>
  <c r="I89" i="2"/>
  <c r="G89" i="2"/>
  <c r="I88" i="2"/>
  <c r="G88" i="2"/>
  <c r="I87" i="2"/>
  <c r="G87" i="2"/>
  <c r="I86" i="2"/>
  <c r="G86" i="2"/>
  <c r="I85" i="2"/>
  <c r="G85" i="2"/>
  <c r="I84" i="2"/>
  <c r="G84" i="2"/>
  <c r="I83" i="2"/>
  <c r="G83" i="2"/>
  <c r="I82" i="2"/>
  <c r="G82" i="2"/>
  <c r="I81" i="2"/>
  <c r="G81" i="2"/>
  <c r="I80" i="2"/>
  <c r="G80" i="2"/>
  <c r="I79" i="2"/>
  <c r="G79" i="2"/>
  <c r="I78" i="2"/>
  <c r="G78" i="2"/>
  <c r="I77" i="2"/>
  <c r="G77" i="2"/>
  <c r="I76" i="2"/>
  <c r="G76" i="2"/>
  <c r="I75" i="2"/>
  <c r="G75" i="2"/>
  <c r="I74" i="2"/>
  <c r="G74" i="2"/>
  <c r="I73" i="2"/>
  <c r="G73" i="2"/>
  <c r="I72" i="2"/>
  <c r="G72" i="2"/>
  <c r="I71" i="2"/>
  <c r="G71" i="2"/>
  <c r="I70" i="2"/>
  <c r="G70" i="2"/>
  <c r="I69" i="2"/>
  <c r="G69" i="2"/>
  <c r="I68" i="2"/>
  <c r="G68" i="2"/>
  <c r="I67" i="2"/>
  <c r="G67" i="2"/>
  <c r="I66" i="2"/>
  <c r="G66" i="2"/>
  <c r="I65" i="2"/>
  <c r="G65" i="2"/>
  <c r="I64" i="2"/>
  <c r="G64" i="2"/>
  <c r="I63" i="2"/>
  <c r="G63" i="2"/>
  <c r="I62" i="2"/>
  <c r="G62" i="2"/>
  <c r="I61" i="2"/>
  <c r="G61" i="2"/>
  <c r="I60" i="2"/>
  <c r="G60" i="2"/>
  <c r="I59" i="2"/>
  <c r="G59" i="2"/>
  <c r="I58" i="2"/>
  <c r="G58" i="2"/>
  <c r="I57" i="2"/>
  <c r="G57" i="2"/>
  <c r="I56" i="2"/>
  <c r="G56" i="2"/>
  <c r="I55" i="2"/>
  <c r="G55" i="2"/>
  <c r="I54" i="2"/>
  <c r="G54" i="2"/>
  <c r="I53" i="2"/>
  <c r="G53" i="2"/>
  <c r="I52" i="2"/>
  <c r="G52" i="2"/>
  <c r="I51" i="2"/>
  <c r="G51" i="2"/>
  <c r="I50" i="2"/>
  <c r="G50" i="2"/>
  <c r="I49" i="2"/>
  <c r="G49" i="2"/>
  <c r="I48" i="2"/>
  <c r="G48" i="2"/>
  <c r="I47" i="2"/>
  <c r="G47" i="2"/>
  <c r="I46" i="2"/>
  <c r="G46" i="2"/>
  <c r="I45" i="2"/>
  <c r="G45" i="2"/>
  <c r="I44" i="2"/>
  <c r="G44" i="2"/>
  <c r="I43" i="2"/>
  <c r="G43" i="2"/>
  <c r="I42" i="2"/>
  <c r="G42" i="2"/>
  <c r="I41" i="2"/>
  <c r="G41" i="2"/>
  <c r="I40" i="2"/>
  <c r="G40" i="2"/>
  <c r="I39" i="2"/>
  <c r="G39" i="2"/>
  <c r="I38" i="2"/>
  <c r="G38" i="2"/>
  <c r="I37" i="2"/>
  <c r="G37" i="2"/>
  <c r="I36" i="2"/>
  <c r="G36" i="2"/>
  <c r="I35" i="2"/>
  <c r="G35" i="2"/>
  <c r="I34" i="2"/>
  <c r="G34" i="2"/>
  <c r="I33" i="2"/>
  <c r="G33" i="2"/>
  <c r="I32" i="2"/>
  <c r="G32" i="2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I12" i="2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I4" i="2"/>
  <c r="G4" i="2"/>
  <c r="I3" i="2"/>
  <c r="G3" i="2"/>
  <c r="I2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<sst xmlns="http://schemas.openxmlformats.org/spreadsheetml/2006/main" count="1620" uniqueCount="54">
  <si>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</si>
  <si>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</si>
  <si>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</si>
  <si>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</si>
  <si>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</si>
  <si>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</si>
  <si>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</si>
  <si>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Commision 10%</t>
  </si>
  <si>
    <t>Sales Person</t>
  </si>
  <si>
    <t>Sale Location</t>
  </si>
  <si>
    <t>Jan</t>
  </si>
  <si>
    <t>Pool Cover</t>
  </si>
  <si>
    <t>Chalie Barns</t>
  </si>
  <si>
    <t>NM</t>
  </si>
  <si>
    <t>Net</t>
  </si>
  <si>
    <t>Juan Hernandez</t>
  </si>
  <si>
    <t>CA</t>
  </si>
  <si>
    <t>8 ft Hose</t>
  </si>
  <si>
    <t>Doug Smith</t>
  </si>
  <si>
    <t>AZ</t>
  </si>
  <si>
    <t>Water Pump</t>
  </si>
  <si>
    <t>Chlorine Test Kit</t>
  </si>
  <si>
    <t>Hellen Johnson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</si>
  <si>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</si>
  <si>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</si>
  <si>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</si>
  <si>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</si>
  <si>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</si>
  <si>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</si>
  <si>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</si>
  <si>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</si>
  <si>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</si>
  <si>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</si>
  <si>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</si>
  <si>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</si>
  <si>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</si>
  <si>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</si>
  <si>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</si>
  <si>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</si>
  <si>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</si>
  <si>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</si>
  <si>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</si>
  <si>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COM 10</t>
  </si>
  <si>
    <t>-</t>
  </si>
  <si>
    <t>Yes</t>
  </si>
  <si>
    <t>Sum of Store Cost</t>
  </si>
  <si>
    <t>Sum of Sale Price</t>
  </si>
  <si>
    <t>Sum of Profit</t>
  </si>
  <si>
    <t>Count of product sold</t>
  </si>
  <si>
    <t>Grand Total</t>
  </si>
  <si>
    <t xml:space="preserve">PROFIT PER PERSON </t>
  </si>
  <si>
    <t>TOTAL SALES PER MONTH</t>
  </si>
  <si>
    <t xml:space="preserve">TOTAL </t>
  </si>
  <si>
    <t>Select Sales person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</si>
</sst>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charset val="129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0" applyNumberFormat="1"/>
    <xf numFmtId="0" fontId="1" fillId="0" borderId="0" xfId="0" applyFont="1"/>
    <xf numFmtId="44" fontId="0" fillId="0" borderId="0" xfId="2" applyFont="1"/>
    <xf numFmtId="0" fontId="2" fillId="0" borderId="0" xfId="0" applyFont="1"/>
    <xf numFmtId="44" fontId="2" fillId="0" borderId="0" xfId="2" applyFont="1"/>
    <xf numFmtId="14" fontId="0" fillId="0" borderId="0" xfId="1" applyNumberFormat="1" applyFont="1"/>
    <xf numFmtId="1" fontId="0" fillId="0" borderId="0" xfId="1" applyNumberFormat="1" applyFont="1"/>
    <xf numFmtId="164" fontId="0" fillId="0" borderId="0" xfId="1" applyNumberFormat="1" applyFont="1"/>
    <xf numFmtId="0" fontId="3" fillId="0" borderId="0" xfId="0" applyFont="1"/>
    <xf numFmtId="0" fontId="0" fillId="0" borderId="0" xfId="0" pivotButton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3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0" fillId="3" borderId="1" xfId="0" applyFill="1" applyBorder="1"/>
    <xf numFmtId="0" fontId="0" fillId="2" borderId="1" xfId="0" applyFill="1" applyBorder="1"/>
    <xf numFmtId="0" fontId="0" fillId="6" borderId="0" xfId="0" applyFill="1"/>
  </cellXfs>
  <cellStyles count="3">
    <cellStyle name="Comma" xfId="1" builtinId="3"/>
    <cellStyle name="Currency" xfId="2" builtinId="4"/>
    <cellStyle name="Normal" xfId="0" builtinId="0"/>
  </cellStyles>
  <dxfs count="73"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alignment vertical="center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u val="none"/>
        <sz val="12"/>
        <color theme="1"/>
        <name val="Calibri"/>
        <charset val="129"/>
        <scheme val="minor"/>
      </font>
    </dxf>
    <dxf>
      <font>
        <b val="0"/>
        <i val="0"/>
        <strike val="0"/>
        <u val="none"/>
        <sz val="12"/>
        <color theme="1"/>
        <name val="Calibri"/>
        <charset val="129"/>
        <scheme val="minor"/>
      </font>
    </dxf>
    <dxf>
      <font>
        <b val="0"/>
        <i val="0"/>
        <strike val="0"/>
        <u val="none"/>
        <sz val="12"/>
        <color theme="1"/>
        <name val="Calibri"/>
        <charset val="129"/>
        <scheme val="minor"/>
      </font>
      <numFmt numFmtId="1" formatCode="0"/>
    </dxf>
    <dxf>
      <font>
        <b val="0"/>
        <i val="0"/>
        <strike val="0"/>
        <u val="none"/>
        <sz val="12"/>
        <color theme="1"/>
        <name val="Calibri"/>
        <charset val="129"/>
        <scheme val="minor"/>
      </font>
      <numFmt numFmtId="19" formatCode="m/d/yyyy"/>
    </dxf>
    <dxf>
      <font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6" tint="0.79995117038483843"/>
          <bgColor theme="6" tint="0.79995117038483843"/>
        </patternFill>
      </fill>
    </dxf>
    <dxf>
      <border>
        <left style="thin">
          <color theme="6" tint="0.39994506668294322"/>
        </left>
        <right style="thin">
          <color theme="6" tint="0.39994506668294322"/>
        </right>
      </border>
    </dxf>
    <dxf>
      <border>
        <top style="thin">
          <color theme="6" tint="0.39994506668294322"/>
        </top>
        <bottom style="thin">
          <color theme="6" tint="0.39994506668294322"/>
        </bottom>
        <horizontal style="thin">
          <color theme="6" tint="0.39994506668294322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6" tint="0.79995117038483843"/>
          <bgColor theme="6" tint="0.79995117038483843"/>
        </patternFill>
      </fill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2" defaultTableStyle="TableStyleMedium9" defaultPivotStyle="PivotStyleMedium4">
    <tableStyle name="TableStylePreset8_Accent3" pivot="0" count="9" xr9:uid="{B4706967-690F-4B87-96EC-4E733E7B0529}">
      <tableStyleElement type="wholeTable" dxfId="72"/>
      <tableStyleElement type="headerRow" dxfId="71"/>
      <tableStyleElement type="totalRow" dxfId="70"/>
      <tableStyleElement type="firstColumn" dxfId="69"/>
      <tableStyleElement type="lastColumn" dxfId="68"/>
      <tableStyleElement type="firstRowStripe" dxfId="67"/>
      <tableStyleElement type="secondRowStripe" dxfId="66"/>
      <tableStyleElement type="firstColumnStripe" dxfId="65"/>
      <tableStyleElement type="secondColumnStripe" dxfId="64"/>
    </tableStyle>
    <tableStyle name="PivotStylePreset5_Accent3" table="0" count="13" xr9:uid="{5AAABF46-8F5C-4A63-A8C5-246345087611}">
      <tableStyleElement type="wholeTable" dxfId="63"/>
      <tableStyleElement type="headerRow" dxfId="62"/>
      <tableStyleElement type="totalRow" dxfId="61"/>
      <tableStyleElement type="firstColumn" dxfId="60"/>
      <tableStyleElement type="firstRowStripe" dxfId="59"/>
      <tableStyleElement type="firstColumnStripe" dxfId="58"/>
      <tableStyleElement type="firstSubtotalColumn" dxfId="57"/>
      <tableStyleElement type="firstSubtotalRow" dxfId="56"/>
      <tableStyleElement type="secondSubtotalRow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81.643807870401" createdVersion="5" refreshedVersion="5" minRefreshableVersion="3" recordCount="171" xr:uid="{00000000-000A-0000-FFFF-FFFF00000000}">
  <cacheSource type="worksheet">
    <worksheetSource ref="A1:K172" sheet="Dataset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">
      <sharedItems containsSemiMixedTypes="0" containsString="0" containsNumber="1" containsInteger="1" minValue="1001" maxValue="1171" count="171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</sharedItems>
    </cacheField>
    <cacheField name="Product Code" numFmtId="0">
      <sharedItems containsSemiMixedTypes="0" containsString="0" containsNumber="1" containsInteger="1" minValue="1109" maxValue="9822" count="10">
        <n v="9822"/>
        <n v="2877"/>
        <n v="2499"/>
        <n v="8722"/>
        <n v="1109"/>
        <n v="4421"/>
        <n v="9212"/>
        <n v="2242"/>
        <n v="6119"/>
        <n v="6622"/>
      </sharedItems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44">
      <sharedItems containsSemiMixedTypes="0" containsString="0" containsNumber="1" minValue="3" maxValue="344" count="10">
        <n v="58.3"/>
        <n v="11.4"/>
        <n v="6.2"/>
        <n v="344"/>
        <n v="3"/>
        <n v="45"/>
        <n v="4"/>
        <n v="60"/>
        <n v="9"/>
        <n v="42"/>
      </sharedItems>
    </cacheField>
    <cacheField name="Sale Price" numFmtId="44">
      <sharedItems containsSemiMixedTypes="0" containsString="0" containsNumber="1" minValue="7" maxValue="502" count="10">
        <n v="98.4"/>
        <n v="16.3"/>
        <n v="9.1999999999999993"/>
        <n v="502"/>
        <n v="8"/>
        <n v="87"/>
        <n v="7"/>
        <n v="124"/>
        <n v="14"/>
        <n v="77"/>
      </sharedItems>
    </cacheField>
    <cacheField name="Profit" numFmtId="44">
      <sharedItems containsSemiMixedTypes="0" containsString="0" containsNumber="1" minValue="3" maxValue="158" count="8">
        <n v="40.1"/>
        <n v="4.9000000000000004"/>
        <n v="3"/>
        <n v="158"/>
        <n v="5"/>
        <n v="42"/>
        <n v="64"/>
        <n v="35"/>
      </sharedItems>
    </cacheField>
    <cacheField name="COM 10" numFmtId="44">
      <sharedItems count="2">
        <s v="-"/>
        <s v="Yes"/>
      </sharedItems>
    </cacheField>
    <cacheField name="Commision 10%" numFmtId="0">
      <sharedItems count="2">
        <s v="-"/>
        <s v="Yes"/>
      </sharedItems>
    </cacheField>
    <cacheField name="Sales Person" numFmtId="0">
      <sharedItems count="4">
        <s v="Chalie Barns"/>
        <s v="Juan Hernandez"/>
        <s v="Doug Smith"/>
        <s v="Hellen Johnson"/>
      </sharedItems>
    </cacheField>
    <cacheField name="Sale Location" numFmtId="0">
      <sharedItems count="6">
        <s v="NM"/>
        <s v="CA"/>
        <s v="AZ"/>
        <s v="CO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0"/>
    <x v="0"/>
    <x v="1"/>
    <x v="1"/>
  </r>
  <r>
    <x v="0"/>
    <x v="2"/>
    <x v="2"/>
    <x v="2"/>
    <x v="2"/>
    <x v="2"/>
    <x v="2"/>
    <x v="0"/>
    <x v="0"/>
    <x v="2"/>
    <x v="2"/>
  </r>
  <r>
    <x v="0"/>
    <x v="3"/>
    <x v="3"/>
    <x v="3"/>
    <x v="3"/>
    <x v="3"/>
    <x v="3"/>
    <x v="1"/>
    <x v="1"/>
    <x v="0"/>
    <x v="2"/>
  </r>
  <r>
    <x v="0"/>
    <x v="4"/>
    <x v="4"/>
    <x v="4"/>
    <x v="4"/>
    <x v="4"/>
    <x v="4"/>
    <x v="0"/>
    <x v="0"/>
    <x v="2"/>
    <x v="2"/>
  </r>
  <r>
    <x v="0"/>
    <x v="5"/>
    <x v="0"/>
    <x v="0"/>
    <x v="0"/>
    <x v="0"/>
    <x v="0"/>
    <x v="0"/>
    <x v="0"/>
    <x v="2"/>
    <x v="2"/>
  </r>
  <r>
    <x v="0"/>
    <x v="6"/>
    <x v="4"/>
    <x v="4"/>
    <x v="4"/>
    <x v="4"/>
    <x v="4"/>
    <x v="0"/>
    <x v="0"/>
    <x v="3"/>
    <x v="0"/>
  </r>
  <r>
    <x v="0"/>
    <x v="7"/>
    <x v="1"/>
    <x v="1"/>
    <x v="1"/>
    <x v="1"/>
    <x v="1"/>
    <x v="0"/>
    <x v="0"/>
    <x v="2"/>
    <x v="0"/>
  </r>
  <r>
    <x v="0"/>
    <x v="8"/>
    <x v="4"/>
    <x v="4"/>
    <x v="4"/>
    <x v="4"/>
    <x v="4"/>
    <x v="0"/>
    <x v="0"/>
    <x v="2"/>
    <x v="2"/>
  </r>
  <r>
    <x v="0"/>
    <x v="9"/>
    <x v="1"/>
    <x v="1"/>
    <x v="1"/>
    <x v="1"/>
    <x v="1"/>
    <x v="0"/>
    <x v="0"/>
    <x v="1"/>
    <x v="3"/>
  </r>
  <r>
    <x v="0"/>
    <x v="10"/>
    <x v="1"/>
    <x v="1"/>
    <x v="1"/>
    <x v="1"/>
    <x v="1"/>
    <x v="0"/>
    <x v="0"/>
    <x v="1"/>
    <x v="2"/>
  </r>
  <r>
    <x v="0"/>
    <x v="11"/>
    <x v="5"/>
    <x v="5"/>
    <x v="5"/>
    <x v="5"/>
    <x v="5"/>
    <x v="0"/>
    <x v="0"/>
    <x v="2"/>
    <x v="0"/>
  </r>
  <r>
    <x v="0"/>
    <x v="12"/>
    <x v="6"/>
    <x v="6"/>
    <x v="6"/>
    <x v="6"/>
    <x v="2"/>
    <x v="0"/>
    <x v="0"/>
    <x v="3"/>
    <x v="3"/>
  </r>
  <r>
    <x v="0"/>
    <x v="13"/>
    <x v="3"/>
    <x v="3"/>
    <x v="3"/>
    <x v="3"/>
    <x v="3"/>
    <x v="1"/>
    <x v="1"/>
    <x v="0"/>
    <x v="1"/>
  </r>
  <r>
    <x v="0"/>
    <x v="14"/>
    <x v="1"/>
    <x v="1"/>
    <x v="1"/>
    <x v="1"/>
    <x v="1"/>
    <x v="0"/>
    <x v="0"/>
    <x v="3"/>
    <x v="2"/>
  </r>
  <r>
    <x v="0"/>
    <x v="15"/>
    <x v="2"/>
    <x v="2"/>
    <x v="2"/>
    <x v="2"/>
    <x v="2"/>
    <x v="0"/>
    <x v="0"/>
    <x v="2"/>
    <x v="1"/>
  </r>
  <r>
    <x v="1"/>
    <x v="16"/>
    <x v="7"/>
    <x v="7"/>
    <x v="7"/>
    <x v="7"/>
    <x v="6"/>
    <x v="0"/>
    <x v="0"/>
    <x v="1"/>
    <x v="0"/>
  </r>
  <r>
    <x v="1"/>
    <x v="17"/>
    <x v="4"/>
    <x v="4"/>
    <x v="4"/>
    <x v="4"/>
    <x v="4"/>
    <x v="0"/>
    <x v="0"/>
    <x v="2"/>
    <x v="1"/>
  </r>
  <r>
    <x v="1"/>
    <x v="18"/>
    <x v="2"/>
    <x v="2"/>
    <x v="2"/>
    <x v="2"/>
    <x v="2"/>
    <x v="0"/>
    <x v="0"/>
    <x v="2"/>
    <x v="3"/>
  </r>
  <r>
    <x v="1"/>
    <x v="19"/>
    <x v="2"/>
    <x v="2"/>
    <x v="2"/>
    <x v="2"/>
    <x v="2"/>
    <x v="0"/>
    <x v="0"/>
    <x v="2"/>
    <x v="4"/>
  </r>
  <r>
    <x v="1"/>
    <x v="20"/>
    <x v="4"/>
    <x v="4"/>
    <x v="4"/>
    <x v="4"/>
    <x v="4"/>
    <x v="0"/>
    <x v="0"/>
    <x v="1"/>
    <x v="3"/>
  </r>
  <r>
    <x v="1"/>
    <x v="21"/>
    <x v="1"/>
    <x v="1"/>
    <x v="1"/>
    <x v="1"/>
    <x v="1"/>
    <x v="0"/>
    <x v="0"/>
    <x v="2"/>
    <x v="5"/>
  </r>
  <r>
    <x v="1"/>
    <x v="22"/>
    <x v="4"/>
    <x v="4"/>
    <x v="4"/>
    <x v="4"/>
    <x v="4"/>
    <x v="0"/>
    <x v="0"/>
    <x v="3"/>
    <x v="0"/>
  </r>
  <r>
    <x v="1"/>
    <x v="23"/>
    <x v="6"/>
    <x v="6"/>
    <x v="6"/>
    <x v="6"/>
    <x v="2"/>
    <x v="0"/>
    <x v="0"/>
    <x v="1"/>
    <x v="5"/>
  </r>
  <r>
    <x v="1"/>
    <x v="24"/>
    <x v="1"/>
    <x v="1"/>
    <x v="1"/>
    <x v="1"/>
    <x v="1"/>
    <x v="0"/>
    <x v="0"/>
    <x v="3"/>
    <x v="4"/>
  </r>
  <r>
    <x v="1"/>
    <x v="25"/>
    <x v="8"/>
    <x v="8"/>
    <x v="8"/>
    <x v="8"/>
    <x v="4"/>
    <x v="0"/>
    <x v="0"/>
    <x v="3"/>
    <x v="0"/>
  </r>
  <r>
    <x v="1"/>
    <x v="26"/>
    <x v="8"/>
    <x v="8"/>
    <x v="8"/>
    <x v="8"/>
    <x v="4"/>
    <x v="0"/>
    <x v="0"/>
    <x v="0"/>
    <x v="4"/>
  </r>
  <r>
    <x v="1"/>
    <x v="27"/>
    <x v="3"/>
    <x v="3"/>
    <x v="3"/>
    <x v="3"/>
    <x v="3"/>
    <x v="1"/>
    <x v="1"/>
    <x v="0"/>
    <x v="2"/>
  </r>
  <r>
    <x v="1"/>
    <x v="28"/>
    <x v="2"/>
    <x v="2"/>
    <x v="2"/>
    <x v="2"/>
    <x v="2"/>
    <x v="0"/>
    <x v="0"/>
    <x v="1"/>
    <x v="2"/>
  </r>
  <r>
    <x v="1"/>
    <x v="29"/>
    <x v="5"/>
    <x v="5"/>
    <x v="5"/>
    <x v="5"/>
    <x v="5"/>
    <x v="0"/>
    <x v="0"/>
    <x v="1"/>
    <x v="4"/>
  </r>
  <r>
    <x v="1"/>
    <x v="30"/>
    <x v="4"/>
    <x v="4"/>
    <x v="4"/>
    <x v="4"/>
    <x v="4"/>
    <x v="0"/>
    <x v="0"/>
    <x v="1"/>
    <x v="1"/>
  </r>
  <r>
    <x v="1"/>
    <x v="31"/>
    <x v="1"/>
    <x v="1"/>
    <x v="1"/>
    <x v="1"/>
    <x v="1"/>
    <x v="0"/>
    <x v="0"/>
    <x v="0"/>
    <x v="2"/>
  </r>
  <r>
    <x v="1"/>
    <x v="32"/>
    <x v="0"/>
    <x v="0"/>
    <x v="0"/>
    <x v="0"/>
    <x v="0"/>
    <x v="0"/>
    <x v="0"/>
    <x v="1"/>
    <x v="1"/>
  </r>
  <r>
    <x v="1"/>
    <x v="33"/>
    <x v="1"/>
    <x v="1"/>
    <x v="1"/>
    <x v="1"/>
    <x v="1"/>
    <x v="0"/>
    <x v="0"/>
    <x v="1"/>
    <x v="3"/>
  </r>
  <r>
    <x v="2"/>
    <x v="34"/>
    <x v="2"/>
    <x v="2"/>
    <x v="2"/>
    <x v="2"/>
    <x v="2"/>
    <x v="0"/>
    <x v="0"/>
    <x v="3"/>
    <x v="1"/>
  </r>
  <r>
    <x v="2"/>
    <x v="35"/>
    <x v="2"/>
    <x v="2"/>
    <x v="2"/>
    <x v="2"/>
    <x v="2"/>
    <x v="0"/>
    <x v="0"/>
    <x v="1"/>
    <x v="4"/>
  </r>
  <r>
    <x v="2"/>
    <x v="36"/>
    <x v="9"/>
    <x v="9"/>
    <x v="9"/>
    <x v="9"/>
    <x v="7"/>
    <x v="0"/>
    <x v="0"/>
    <x v="1"/>
    <x v="4"/>
  </r>
  <r>
    <x v="2"/>
    <x v="37"/>
    <x v="2"/>
    <x v="2"/>
    <x v="2"/>
    <x v="2"/>
    <x v="2"/>
    <x v="0"/>
    <x v="0"/>
    <x v="1"/>
    <x v="4"/>
  </r>
  <r>
    <x v="2"/>
    <x v="38"/>
    <x v="1"/>
    <x v="1"/>
    <x v="1"/>
    <x v="1"/>
    <x v="1"/>
    <x v="0"/>
    <x v="0"/>
    <x v="1"/>
    <x v="1"/>
  </r>
  <r>
    <x v="2"/>
    <x v="39"/>
    <x v="4"/>
    <x v="4"/>
    <x v="4"/>
    <x v="4"/>
    <x v="4"/>
    <x v="0"/>
    <x v="0"/>
    <x v="1"/>
    <x v="2"/>
  </r>
  <r>
    <x v="2"/>
    <x v="40"/>
    <x v="2"/>
    <x v="2"/>
    <x v="2"/>
    <x v="2"/>
    <x v="2"/>
    <x v="0"/>
    <x v="0"/>
    <x v="0"/>
    <x v="0"/>
  </r>
  <r>
    <x v="2"/>
    <x v="41"/>
    <x v="3"/>
    <x v="3"/>
    <x v="3"/>
    <x v="3"/>
    <x v="3"/>
    <x v="1"/>
    <x v="1"/>
    <x v="2"/>
    <x v="0"/>
  </r>
  <r>
    <x v="2"/>
    <x v="42"/>
    <x v="7"/>
    <x v="7"/>
    <x v="7"/>
    <x v="7"/>
    <x v="6"/>
    <x v="0"/>
    <x v="0"/>
    <x v="2"/>
    <x v="1"/>
  </r>
  <r>
    <x v="2"/>
    <x v="43"/>
    <x v="1"/>
    <x v="1"/>
    <x v="1"/>
    <x v="1"/>
    <x v="1"/>
    <x v="0"/>
    <x v="0"/>
    <x v="2"/>
    <x v="1"/>
  </r>
  <r>
    <x v="2"/>
    <x v="44"/>
    <x v="3"/>
    <x v="3"/>
    <x v="3"/>
    <x v="3"/>
    <x v="3"/>
    <x v="1"/>
    <x v="1"/>
    <x v="3"/>
    <x v="2"/>
  </r>
  <r>
    <x v="2"/>
    <x v="45"/>
    <x v="8"/>
    <x v="8"/>
    <x v="8"/>
    <x v="8"/>
    <x v="4"/>
    <x v="0"/>
    <x v="0"/>
    <x v="1"/>
    <x v="5"/>
  </r>
  <r>
    <x v="2"/>
    <x v="46"/>
    <x v="9"/>
    <x v="9"/>
    <x v="9"/>
    <x v="9"/>
    <x v="7"/>
    <x v="0"/>
    <x v="0"/>
    <x v="3"/>
    <x v="2"/>
  </r>
  <r>
    <x v="2"/>
    <x v="47"/>
    <x v="3"/>
    <x v="3"/>
    <x v="3"/>
    <x v="3"/>
    <x v="3"/>
    <x v="1"/>
    <x v="1"/>
    <x v="0"/>
    <x v="2"/>
  </r>
  <r>
    <x v="3"/>
    <x v="48"/>
    <x v="2"/>
    <x v="2"/>
    <x v="2"/>
    <x v="2"/>
    <x v="2"/>
    <x v="0"/>
    <x v="0"/>
    <x v="0"/>
    <x v="3"/>
  </r>
  <r>
    <x v="3"/>
    <x v="49"/>
    <x v="1"/>
    <x v="1"/>
    <x v="1"/>
    <x v="1"/>
    <x v="1"/>
    <x v="0"/>
    <x v="0"/>
    <x v="0"/>
    <x v="2"/>
  </r>
  <r>
    <x v="3"/>
    <x v="50"/>
    <x v="8"/>
    <x v="8"/>
    <x v="8"/>
    <x v="8"/>
    <x v="4"/>
    <x v="0"/>
    <x v="0"/>
    <x v="2"/>
    <x v="5"/>
  </r>
  <r>
    <x v="3"/>
    <x v="51"/>
    <x v="9"/>
    <x v="9"/>
    <x v="9"/>
    <x v="9"/>
    <x v="7"/>
    <x v="0"/>
    <x v="0"/>
    <x v="2"/>
    <x v="2"/>
  </r>
  <r>
    <x v="3"/>
    <x v="52"/>
    <x v="7"/>
    <x v="7"/>
    <x v="7"/>
    <x v="7"/>
    <x v="6"/>
    <x v="0"/>
    <x v="0"/>
    <x v="0"/>
    <x v="1"/>
  </r>
  <r>
    <x v="3"/>
    <x v="53"/>
    <x v="5"/>
    <x v="5"/>
    <x v="5"/>
    <x v="5"/>
    <x v="5"/>
    <x v="0"/>
    <x v="0"/>
    <x v="2"/>
    <x v="4"/>
  </r>
  <r>
    <x v="3"/>
    <x v="54"/>
    <x v="8"/>
    <x v="8"/>
    <x v="8"/>
    <x v="8"/>
    <x v="4"/>
    <x v="0"/>
    <x v="0"/>
    <x v="1"/>
    <x v="4"/>
  </r>
  <r>
    <x v="3"/>
    <x v="55"/>
    <x v="4"/>
    <x v="4"/>
    <x v="4"/>
    <x v="4"/>
    <x v="4"/>
    <x v="0"/>
    <x v="0"/>
    <x v="2"/>
    <x v="1"/>
  </r>
  <r>
    <x v="3"/>
    <x v="56"/>
    <x v="2"/>
    <x v="2"/>
    <x v="2"/>
    <x v="2"/>
    <x v="2"/>
    <x v="0"/>
    <x v="0"/>
    <x v="1"/>
    <x v="1"/>
  </r>
  <r>
    <x v="3"/>
    <x v="57"/>
    <x v="8"/>
    <x v="8"/>
    <x v="8"/>
    <x v="8"/>
    <x v="4"/>
    <x v="0"/>
    <x v="0"/>
    <x v="3"/>
    <x v="2"/>
  </r>
  <r>
    <x v="3"/>
    <x v="58"/>
    <x v="7"/>
    <x v="7"/>
    <x v="7"/>
    <x v="7"/>
    <x v="6"/>
    <x v="0"/>
    <x v="0"/>
    <x v="2"/>
    <x v="2"/>
  </r>
  <r>
    <x v="3"/>
    <x v="59"/>
    <x v="8"/>
    <x v="8"/>
    <x v="8"/>
    <x v="8"/>
    <x v="4"/>
    <x v="0"/>
    <x v="0"/>
    <x v="2"/>
    <x v="4"/>
  </r>
  <r>
    <x v="4"/>
    <x v="60"/>
    <x v="4"/>
    <x v="4"/>
    <x v="4"/>
    <x v="4"/>
    <x v="4"/>
    <x v="0"/>
    <x v="0"/>
    <x v="2"/>
    <x v="4"/>
  </r>
  <r>
    <x v="4"/>
    <x v="61"/>
    <x v="2"/>
    <x v="2"/>
    <x v="2"/>
    <x v="2"/>
    <x v="2"/>
    <x v="0"/>
    <x v="0"/>
    <x v="0"/>
    <x v="2"/>
  </r>
  <r>
    <x v="4"/>
    <x v="62"/>
    <x v="4"/>
    <x v="4"/>
    <x v="4"/>
    <x v="4"/>
    <x v="4"/>
    <x v="0"/>
    <x v="0"/>
    <x v="2"/>
    <x v="1"/>
  </r>
  <r>
    <x v="4"/>
    <x v="63"/>
    <x v="2"/>
    <x v="2"/>
    <x v="2"/>
    <x v="2"/>
    <x v="2"/>
    <x v="0"/>
    <x v="0"/>
    <x v="3"/>
    <x v="2"/>
  </r>
  <r>
    <x v="4"/>
    <x v="64"/>
    <x v="2"/>
    <x v="2"/>
    <x v="2"/>
    <x v="2"/>
    <x v="2"/>
    <x v="0"/>
    <x v="0"/>
    <x v="2"/>
    <x v="0"/>
  </r>
  <r>
    <x v="4"/>
    <x v="65"/>
    <x v="1"/>
    <x v="1"/>
    <x v="1"/>
    <x v="1"/>
    <x v="1"/>
    <x v="0"/>
    <x v="0"/>
    <x v="2"/>
    <x v="4"/>
  </r>
  <r>
    <x v="4"/>
    <x v="66"/>
    <x v="1"/>
    <x v="1"/>
    <x v="1"/>
    <x v="1"/>
    <x v="1"/>
    <x v="0"/>
    <x v="0"/>
    <x v="2"/>
    <x v="5"/>
  </r>
  <r>
    <x v="4"/>
    <x v="67"/>
    <x v="8"/>
    <x v="8"/>
    <x v="8"/>
    <x v="8"/>
    <x v="4"/>
    <x v="0"/>
    <x v="0"/>
    <x v="1"/>
    <x v="1"/>
  </r>
  <r>
    <x v="4"/>
    <x v="68"/>
    <x v="4"/>
    <x v="4"/>
    <x v="4"/>
    <x v="4"/>
    <x v="4"/>
    <x v="0"/>
    <x v="0"/>
    <x v="2"/>
    <x v="2"/>
  </r>
  <r>
    <x v="4"/>
    <x v="69"/>
    <x v="2"/>
    <x v="2"/>
    <x v="2"/>
    <x v="2"/>
    <x v="2"/>
    <x v="0"/>
    <x v="0"/>
    <x v="3"/>
    <x v="2"/>
  </r>
  <r>
    <x v="4"/>
    <x v="70"/>
    <x v="4"/>
    <x v="4"/>
    <x v="4"/>
    <x v="4"/>
    <x v="4"/>
    <x v="0"/>
    <x v="0"/>
    <x v="0"/>
    <x v="2"/>
  </r>
  <r>
    <x v="4"/>
    <x v="71"/>
    <x v="4"/>
    <x v="4"/>
    <x v="4"/>
    <x v="4"/>
    <x v="4"/>
    <x v="0"/>
    <x v="0"/>
    <x v="2"/>
    <x v="4"/>
  </r>
  <r>
    <x v="4"/>
    <x v="72"/>
    <x v="9"/>
    <x v="9"/>
    <x v="9"/>
    <x v="9"/>
    <x v="7"/>
    <x v="0"/>
    <x v="0"/>
    <x v="2"/>
    <x v="1"/>
  </r>
  <r>
    <x v="4"/>
    <x v="73"/>
    <x v="1"/>
    <x v="1"/>
    <x v="1"/>
    <x v="1"/>
    <x v="1"/>
    <x v="0"/>
    <x v="0"/>
    <x v="2"/>
    <x v="2"/>
  </r>
  <r>
    <x v="4"/>
    <x v="74"/>
    <x v="4"/>
    <x v="4"/>
    <x v="4"/>
    <x v="4"/>
    <x v="4"/>
    <x v="0"/>
    <x v="0"/>
    <x v="3"/>
    <x v="1"/>
  </r>
  <r>
    <x v="4"/>
    <x v="75"/>
    <x v="4"/>
    <x v="4"/>
    <x v="4"/>
    <x v="4"/>
    <x v="4"/>
    <x v="0"/>
    <x v="0"/>
    <x v="1"/>
    <x v="2"/>
  </r>
  <r>
    <x v="4"/>
    <x v="76"/>
    <x v="0"/>
    <x v="0"/>
    <x v="0"/>
    <x v="0"/>
    <x v="0"/>
    <x v="0"/>
    <x v="0"/>
    <x v="3"/>
    <x v="2"/>
  </r>
  <r>
    <x v="4"/>
    <x v="77"/>
    <x v="1"/>
    <x v="1"/>
    <x v="1"/>
    <x v="1"/>
    <x v="1"/>
    <x v="0"/>
    <x v="0"/>
    <x v="1"/>
    <x v="4"/>
  </r>
  <r>
    <x v="5"/>
    <x v="78"/>
    <x v="1"/>
    <x v="1"/>
    <x v="1"/>
    <x v="1"/>
    <x v="1"/>
    <x v="0"/>
    <x v="0"/>
    <x v="1"/>
    <x v="0"/>
  </r>
  <r>
    <x v="5"/>
    <x v="79"/>
    <x v="5"/>
    <x v="5"/>
    <x v="5"/>
    <x v="5"/>
    <x v="5"/>
    <x v="0"/>
    <x v="0"/>
    <x v="2"/>
    <x v="1"/>
  </r>
  <r>
    <x v="5"/>
    <x v="80"/>
    <x v="8"/>
    <x v="8"/>
    <x v="8"/>
    <x v="8"/>
    <x v="4"/>
    <x v="0"/>
    <x v="0"/>
    <x v="2"/>
    <x v="5"/>
  </r>
  <r>
    <x v="5"/>
    <x v="81"/>
    <x v="4"/>
    <x v="4"/>
    <x v="4"/>
    <x v="4"/>
    <x v="4"/>
    <x v="0"/>
    <x v="0"/>
    <x v="0"/>
    <x v="1"/>
  </r>
  <r>
    <x v="5"/>
    <x v="82"/>
    <x v="4"/>
    <x v="4"/>
    <x v="4"/>
    <x v="4"/>
    <x v="4"/>
    <x v="0"/>
    <x v="0"/>
    <x v="0"/>
    <x v="4"/>
  </r>
  <r>
    <x v="5"/>
    <x v="83"/>
    <x v="8"/>
    <x v="8"/>
    <x v="8"/>
    <x v="8"/>
    <x v="4"/>
    <x v="0"/>
    <x v="0"/>
    <x v="0"/>
    <x v="2"/>
  </r>
  <r>
    <x v="5"/>
    <x v="84"/>
    <x v="0"/>
    <x v="0"/>
    <x v="0"/>
    <x v="0"/>
    <x v="0"/>
    <x v="0"/>
    <x v="0"/>
    <x v="2"/>
    <x v="4"/>
  </r>
  <r>
    <x v="5"/>
    <x v="85"/>
    <x v="4"/>
    <x v="4"/>
    <x v="4"/>
    <x v="4"/>
    <x v="4"/>
    <x v="0"/>
    <x v="0"/>
    <x v="3"/>
    <x v="2"/>
  </r>
  <r>
    <x v="5"/>
    <x v="86"/>
    <x v="2"/>
    <x v="2"/>
    <x v="2"/>
    <x v="2"/>
    <x v="2"/>
    <x v="0"/>
    <x v="0"/>
    <x v="0"/>
    <x v="1"/>
  </r>
  <r>
    <x v="5"/>
    <x v="87"/>
    <x v="2"/>
    <x v="2"/>
    <x v="2"/>
    <x v="2"/>
    <x v="2"/>
    <x v="0"/>
    <x v="0"/>
    <x v="0"/>
    <x v="0"/>
  </r>
  <r>
    <x v="5"/>
    <x v="88"/>
    <x v="8"/>
    <x v="8"/>
    <x v="8"/>
    <x v="8"/>
    <x v="4"/>
    <x v="0"/>
    <x v="0"/>
    <x v="2"/>
    <x v="4"/>
  </r>
  <r>
    <x v="5"/>
    <x v="89"/>
    <x v="1"/>
    <x v="1"/>
    <x v="1"/>
    <x v="1"/>
    <x v="1"/>
    <x v="0"/>
    <x v="0"/>
    <x v="0"/>
    <x v="1"/>
  </r>
  <r>
    <x v="5"/>
    <x v="90"/>
    <x v="1"/>
    <x v="1"/>
    <x v="1"/>
    <x v="1"/>
    <x v="1"/>
    <x v="0"/>
    <x v="0"/>
    <x v="3"/>
    <x v="4"/>
  </r>
  <r>
    <x v="5"/>
    <x v="91"/>
    <x v="1"/>
    <x v="1"/>
    <x v="1"/>
    <x v="1"/>
    <x v="1"/>
    <x v="0"/>
    <x v="0"/>
    <x v="2"/>
    <x v="1"/>
  </r>
  <r>
    <x v="5"/>
    <x v="92"/>
    <x v="8"/>
    <x v="8"/>
    <x v="8"/>
    <x v="8"/>
    <x v="4"/>
    <x v="0"/>
    <x v="0"/>
    <x v="1"/>
    <x v="2"/>
  </r>
  <r>
    <x v="5"/>
    <x v="93"/>
    <x v="8"/>
    <x v="8"/>
    <x v="8"/>
    <x v="8"/>
    <x v="4"/>
    <x v="0"/>
    <x v="0"/>
    <x v="2"/>
    <x v="1"/>
  </r>
  <r>
    <x v="5"/>
    <x v="94"/>
    <x v="2"/>
    <x v="2"/>
    <x v="2"/>
    <x v="2"/>
    <x v="2"/>
    <x v="0"/>
    <x v="0"/>
    <x v="3"/>
    <x v="2"/>
  </r>
  <r>
    <x v="5"/>
    <x v="95"/>
    <x v="8"/>
    <x v="8"/>
    <x v="8"/>
    <x v="8"/>
    <x v="4"/>
    <x v="0"/>
    <x v="0"/>
    <x v="2"/>
    <x v="2"/>
  </r>
  <r>
    <x v="5"/>
    <x v="96"/>
    <x v="6"/>
    <x v="6"/>
    <x v="6"/>
    <x v="6"/>
    <x v="2"/>
    <x v="0"/>
    <x v="0"/>
    <x v="3"/>
    <x v="4"/>
  </r>
  <r>
    <x v="5"/>
    <x v="97"/>
    <x v="1"/>
    <x v="1"/>
    <x v="1"/>
    <x v="1"/>
    <x v="1"/>
    <x v="0"/>
    <x v="0"/>
    <x v="1"/>
    <x v="0"/>
  </r>
  <r>
    <x v="6"/>
    <x v="98"/>
    <x v="1"/>
    <x v="1"/>
    <x v="1"/>
    <x v="1"/>
    <x v="1"/>
    <x v="0"/>
    <x v="0"/>
    <x v="2"/>
    <x v="1"/>
  </r>
  <r>
    <x v="6"/>
    <x v="99"/>
    <x v="8"/>
    <x v="8"/>
    <x v="8"/>
    <x v="8"/>
    <x v="4"/>
    <x v="0"/>
    <x v="0"/>
    <x v="0"/>
    <x v="5"/>
  </r>
  <r>
    <x v="6"/>
    <x v="100"/>
    <x v="2"/>
    <x v="2"/>
    <x v="2"/>
    <x v="2"/>
    <x v="2"/>
    <x v="0"/>
    <x v="0"/>
    <x v="2"/>
    <x v="1"/>
  </r>
  <r>
    <x v="6"/>
    <x v="101"/>
    <x v="7"/>
    <x v="7"/>
    <x v="7"/>
    <x v="7"/>
    <x v="6"/>
    <x v="0"/>
    <x v="0"/>
    <x v="1"/>
    <x v="4"/>
  </r>
  <r>
    <x v="6"/>
    <x v="102"/>
    <x v="1"/>
    <x v="1"/>
    <x v="1"/>
    <x v="1"/>
    <x v="1"/>
    <x v="0"/>
    <x v="0"/>
    <x v="1"/>
    <x v="2"/>
  </r>
  <r>
    <x v="6"/>
    <x v="103"/>
    <x v="1"/>
    <x v="1"/>
    <x v="1"/>
    <x v="1"/>
    <x v="1"/>
    <x v="0"/>
    <x v="0"/>
    <x v="2"/>
    <x v="4"/>
  </r>
  <r>
    <x v="6"/>
    <x v="104"/>
    <x v="2"/>
    <x v="2"/>
    <x v="2"/>
    <x v="2"/>
    <x v="2"/>
    <x v="0"/>
    <x v="0"/>
    <x v="1"/>
    <x v="2"/>
  </r>
  <r>
    <x v="6"/>
    <x v="105"/>
    <x v="0"/>
    <x v="0"/>
    <x v="0"/>
    <x v="0"/>
    <x v="0"/>
    <x v="0"/>
    <x v="0"/>
    <x v="1"/>
    <x v="1"/>
  </r>
  <r>
    <x v="6"/>
    <x v="106"/>
    <x v="4"/>
    <x v="4"/>
    <x v="4"/>
    <x v="4"/>
    <x v="4"/>
    <x v="0"/>
    <x v="0"/>
    <x v="3"/>
    <x v="0"/>
  </r>
  <r>
    <x v="6"/>
    <x v="107"/>
    <x v="0"/>
    <x v="0"/>
    <x v="0"/>
    <x v="0"/>
    <x v="0"/>
    <x v="0"/>
    <x v="0"/>
    <x v="2"/>
    <x v="4"/>
  </r>
  <r>
    <x v="6"/>
    <x v="108"/>
    <x v="3"/>
    <x v="3"/>
    <x v="3"/>
    <x v="3"/>
    <x v="3"/>
    <x v="1"/>
    <x v="1"/>
    <x v="1"/>
    <x v="1"/>
  </r>
  <r>
    <x v="6"/>
    <x v="109"/>
    <x v="3"/>
    <x v="3"/>
    <x v="3"/>
    <x v="3"/>
    <x v="3"/>
    <x v="1"/>
    <x v="1"/>
    <x v="3"/>
    <x v="4"/>
  </r>
  <r>
    <x v="6"/>
    <x v="110"/>
    <x v="9"/>
    <x v="9"/>
    <x v="9"/>
    <x v="9"/>
    <x v="7"/>
    <x v="0"/>
    <x v="0"/>
    <x v="3"/>
    <x v="1"/>
  </r>
  <r>
    <x v="6"/>
    <x v="111"/>
    <x v="9"/>
    <x v="9"/>
    <x v="9"/>
    <x v="9"/>
    <x v="7"/>
    <x v="0"/>
    <x v="0"/>
    <x v="2"/>
    <x v="2"/>
  </r>
  <r>
    <x v="6"/>
    <x v="112"/>
    <x v="0"/>
    <x v="0"/>
    <x v="0"/>
    <x v="0"/>
    <x v="0"/>
    <x v="0"/>
    <x v="0"/>
    <x v="0"/>
    <x v="1"/>
  </r>
  <r>
    <x v="6"/>
    <x v="113"/>
    <x v="7"/>
    <x v="7"/>
    <x v="7"/>
    <x v="7"/>
    <x v="6"/>
    <x v="0"/>
    <x v="0"/>
    <x v="1"/>
    <x v="2"/>
  </r>
  <r>
    <x v="6"/>
    <x v="114"/>
    <x v="3"/>
    <x v="3"/>
    <x v="3"/>
    <x v="3"/>
    <x v="3"/>
    <x v="1"/>
    <x v="1"/>
    <x v="0"/>
    <x v="2"/>
  </r>
  <r>
    <x v="6"/>
    <x v="115"/>
    <x v="9"/>
    <x v="9"/>
    <x v="9"/>
    <x v="9"/>
    <x v="7"/>
    <x v="0"/>
    <x v="0"/>
    <x v="2"/>
    <x v="4"/>
  </r>
  <r>
    <x v="6"/>
    <x v="116"/>
    <x v="3"/>
    <x v="3"/>
    <x v="3"/>
    <x v="3"/>
    <x v="3"/>
    <x v="1"/>
    <x v="1"/>
    <x v="3"/>
    <x v="0"/>
  </r>
  <r>
    <x v="6"/>
    <x v="117"/>
    <x v="0"/>
    <x v="0"/>
    <x v="0"/>
    <x v="0"/>
    <x v="0"/>
    <x v="0"/>
    <x v="0"/>
    <x v="1"/>
    <x v="1"/>
  </r>
  <r>
    <x v="6"/>
    <x v="118"/>
    <x v="7"/>
    <x v="7"/>
    <x v="7"/>
    <x v="7"/>
    <x v="6"/>
    <x v="0"/>
    <x v="0"/>
    <x v="0"/>
    <x v="5"/>
  </r>
  <r>
    <x v="6"/>
    <x v="119"/>
    <x v="7"/>
    <x v="7"/>
    <x v="7"/>
    <x v="7"/>
    <x v="6"/>
    <x v="0"/>
    <x v="0"/>
    <x v="2"/>
    <x v="1"/>
  </r>
  <r>
    <x v="6"/>
    <x v="120"/>
    <x v="5"/>
    <x v="5"/>
    <x v="5"/>
    <x v="5"/>
    <x v="5"/>
    <x v="0"/>
    <x v="0"/>
    <x v="2"/>
    <x v="4"/>
  </r>
  <r>
    <x v="6"/>
    <x v="121"/>
    <x v="3"/>
    <x v="3"/>
    <x v="3"/>
    <x v="3"/>
    <x v="3"/>
    <x v="1"/>
    <x v="1"/>
    <x v="2"/>
    <x v="2"/>
  </r>
  <r>
    <x v="6"/>
    <x v="122"/>
    <x v="0"/>
    <x v="0"/>
    <x v="0"/>
    <x v="0"/>
    <x v="0"/>
    <x v="0"/>
    <x v="0"/>
    <x v="2"/>
    <x v="4"/>
  </r>
  <r>
    <x v="6"/>
    <x v="123"/>
    <x v="5"/>
    <x v="5"/>
    <x v="5"/>
    <x v="5"/>
    <x v="5"/>
    <x v="0"/>
    <x v="0"/>
    <x v="2"/>
    <x v="2"/>
  </r>
  <r>
    <x v="7"/>
    <x v="124"/>
    <x v="7"/>
    <x v="7"/>
    <x v="7"/>
    <x v="7"/>
    <x v="6"/>
    <x v="0"/>
    <x v="0"/>
    <x v="2"/>
    <x v="1"/>
  </r>
  <r>
    <x v="7"/>
    <x v="125"/>
    <x v="6"/>
    <x v="6"/>
    <x v="6"/>
    <x v="6"/>
    <x v="2"/>
    <x v="0"/>
    <x v="0"/>
    <x v="2"/>
    <x v="0"/>
  </r>
  <r>
    <x v="7"/>
    <x v="126"/>
    <x v="3"/>
    <x v="3"/>
    <x v="3"/>
    <x v="3"/>
    <x v="3"/>
    <x v="1"/>
    <x v="1"/>
    <x v="0"/>
    <x v="4"/>
  </r>
  <r>
    <x v="7"/>
    <x v="127"/>
    <x v="9"/>
    <x v="9"/>
    <x v="9"/>
    <x v="9"/>
    <x v="7"/>
    <x v="0"/>
    <x v="0"/>
    <x v="1"/>
    <x v="1"/>
  </r>
  <r>
    <x v="7"/>
    <x v="128"/>
    <x v="0"/>
    <x v="0"/>
    <x v="0"/>
    <x v="0"/>
    <x v="0"/>
    <x v="0"/>
    <x v="0"/>
    <x v="3"/>
    <x v="4"/>
  </r>
  <r>
    <x v="7"/>
    <x v="129"/>
    <x v="5"/>
    <x v="5"/>
    <x v="5"/>
    <x v="5"/>
    <x v="5"/>
    <x v="0"/>
    <x v="0"/>
    <x v="3"/>
    <x v="1"/>
  </r>
  <r>
    <x v="7"/>
    <x v="130"/>
    <x v="6"/>
    <x v="6"/>
    <x v="6"/>
    <x v="6"/>
    <x v="2"/>
    <x v="0"/>
    <x v="0"/>
    <x v="3"/>
    <x v="2"/>
  </r>
  <r>
    <x v="7"/>
    <x v="131"/>
    <x v="6"/>
    <x v="6"/>
    <x v="6"/>
    <x v="6"/>
    <x v="2"/>
    <x v="0"/>
    <x v="0"/>
    <x v="3"/>
    <x v="1"/>
  </r>
  <r>
    <x v="7"/>
    <x v="132"/>
    <x v="0"/>
    <x v="0"/>
    <x v="0"/>
    <x v="0"/>
    <x v="0"/>
    <x v="0"/>
    <x v="0"/>
    <x v="0"/>
    <x v="2"/>
  </r>
  <r>
    <x v="7"/>
    <x v="133"/>
    <x v="0"/>
    <x v="0"/>
    <x v="0"/>
    <x v="0"/>
    <x v="0"/>
    <x v="0"/>
    <x v="0"/>
    <x v="2"/>
    <x v="2"/>
  </r>
  <r>
    <x v="7"/>
    <x v="134"/>
    <x v="3"/>
    <x v="3"/>
    <x v="3"/>
    <x v="3"/>
    <x v="3"/>
    <x v="1"/>
    <x v="1"/>
    <x v="0"/>
    <x v="4"/>
  </r>
  <r>
    <x v="7"/>
    <x v="135"/>
    <x v="7"/>
    <x v="7"/>
    <x v="7"/>
    <x v="7"/>
    <x v="6"/>
    <x v="0"/>
    <x v="0"/>
    <x v="2"/>
    <x v="0"/>
  </r>
  <r>
    <x v="7"/>
    <x v="136"/>
    <x v="0"/>
    <x v="0"/>
    <x v="0"/>
    <x v="0"/>
    <x v="0"/>
    <x v="0"/>
    <x v="0"/>
    <x v="1"/>
    <x v="1"/>
  </r>
  <r>
    <x v="7"/>
    <x v="137"/>
    <x v="3"/>
    <x v="3"/>
    <x v="3"/>
    <x v="3"/>
    <x v="3"/>
    <x v="1"/>
    <x v="1"/>
    <x v="0"/>
    <x v="5"/>
  </r>
  <r>
    <x v="7"/>
    <x v="138"/>
    <x v="5"/>
    <x v="5"/>
    <x v="5"/>
    <x v="5"/>
    <x v="5"/>
    <x v="0"/>
    <x v="0"/>
    <x v="2"/>
    <x v="1"/>
  </r>
  <r>
    <x v="7"/>
    <x v="139"/>
    <x v="5"/>
    <x v="5"/>
    <x v="5"/>
    <x v="5"/>
    <x v="5"/>
    <x v="0"/>
    <x v="0"/>
    <x v="1"/>
    <x v="4"/>
  </r>
  <r>
    <x v="7"/>
    <x v="140"/>
    <x v="6"/>
    <x v="6"/>
    <x v="6"/>
    <x v="6"/>
    <x v="2"/>
    <x v="0"/>
    <x v="0"/>
    <x v="1"/>
    <x v="2"/>
  </r>
  <r>
    <x v="8"/>
    <x v="141"/>
    <x v="7"/>
    <x v="7"/>
    <x v="7"/>
    <x v="7"/>
    <x v="6"/>
    <x v="0"/>
    <x v="0"/>
    <x v="1"/>
    <x v="4"/>
  </r>
  <r>
    <x v="8"/>
    <x v="142"/>
    <x v="0"/>
    <x v="0"/>
    <x v="0"/>
    <x v="0"/>
    <x v="0"/>
    <x v="0"/>
    <x v="0"/>
    <x v="3"/>
    <x v="2"/>
  </r>
  <r>
    <x v="8"/>
    <x v="143"/>
    <x v="7"/>
    <x v="7"/>
    <x v="7"/>
    <x v="7"/>
    <x v="6"/>
    <x v="0"/>
    <x v="0"/>
    <x v="3"/>
    <x v="1"/>
  </r>
  <r>
    <x v="8"/>
    <x v="144"/>
    <x v="5"/>
    <x v="5"/>
    <x v="5"/>
    <x v="5"/>
    <x v="5"/>
    <x v="0"/>
    <x v="0"/>
    <x v="3"/>
    <x v="0"/>
  </r>
  <r>
    <x v="8"/>
    <x v="145"/>
    <x v="3"/>
    <x v="3"/>
    <x v="3"/>
    <x v="3"/>
    <x v="3"/>
    <x v="1"/>
    <x v="1"/>
    <x v="3"/>
    <x v="4"/>
  </r>
  <r>
    <x v="8"/>
    <x v="146"/>
    <x v="0"/>
    <x v="0"/>
    <x v="0"/>
    <x v="0"/>
    <x v="0"/>
    <x v="0"/>
    <x v="0"/>
    <x v="0"/>
    <x v="1"/>
  </r>
  <r>
    <x v="8"/>
    <x v="147"/>
    <x v="6"/>
    <x v="6"/>
    <x v="6"/>
    <x v="6"/>
    <x v="2"/>
    <x v="0"/>
    <x v="0"/>
    <x v="2"/>
    <x v="2"/>
  </r>
  <r>
    <x v="8"/>
    <x v="148"/>
    <x v="3"/>
    <x v="3"/>
    <x v="3"/>
    <x v="3"/>
    <x v="3"/>
    <x v="1"/>
    <x v="1"/>
    <x v="0"/>
    <x v="2"/>
  </r>
  <r>
    <x v="9"/>
    <x v="149"/>
    <x v="7"/>
    <x v="7"/>
    <x v="7"/>
    <x v="7"/>
    <x v="6"/>
    <x v="0"/>
    <x v="0"/>
    <x v="2"/>
    <x v="5"/>
  </r>
  <r>
    <x v="9"/>
    <x v="150"/>
    <x v="7"/>
    <x v="7"/>
    <x v="7"/>
    <x v="7"/>
    <x v="6"/>
    <x v="0"/>
    <x v="0"/>
    <x v="1"/>
    <x v="1"/>
  </r>
  <r>
    <x v="9"/>
    <x v="151"/>
    <x v="5"/>
    <x v="5"/>
    <x v="5"/>
    <x v="5"/>
    <x v="5"/>
    <x v="0"/>
    <x v="0"/>
    <x v="0"/>
    <x v="4"/>
  </r>
  <r>
    <x v="9"/>
    <x v="152"/>
    <x v="3"/>
    <x v="3"/>
    <x v="3"/>
    <x v="3"/>
    <x v="3"/>
    <x v="1"/>
    <x v="1"/>
    <x v="2"/>
    <x v="2"/>
  </r>
  <r>
    <x v="9"/>
    <x v="153"/>
    <x v="0"/>
    <x v="0"/>
    <x v="0"/>
    <x v="0"/>
    <x v="0"/>
    <x v="0"/>
    <x v="0"/>
    <x v="1"/>
    <x v="4"/>
  </r>
  <r>
    <x v="9"/>
    <x v="154"/>
    <x v="5"/>
    <x v="5"/>
    <x v="5"/>
    <x v="5"/>
    <x v="5"/>
    <x v="0"/>
    <x v="0"/>
    <x v="2"/>
    <x v="2"/>
  </r>
  <r>
    <x v="9"/>
    <x v="155"/>
    <x v="7"/>
    <x v="7"/>
    <x v="7"/>
    <x v="7"/>
    <x v="6"/>
    <x v="0"/>
    <x v="0"/>
    <x v="2"/>
    <x v="1"/>
  </r>
  <r>
    <x v="9"/>
    <x v="156"/>
    <x v="6"/>
    <x v="6"/>
    <x v="6"/>
    <x v="6"/>
    <x v="2"/>
    <x v="0"/>
    <x v="0"/>
    <x v="2"/>
    <x v="0"/>
  </r>
  <r>
    <x v="10"/>
    <x v="157"/>
    <x v="3"/>
    <x v="3"/>
    <x v="3"/>
    <x v="3"/>
    <x v="3"/>
    <x v="1"/>
    <x v="1"/>
    <x v="0"/>
    <x v="4"/>
  </r>
  <r>
    <x v="10"/>
    <x v="158"/>
    <x v="9"/>
    <x v="9"/>
    <x v="9"/>
    <x v="9"/>
    <x v="7"/>
    <x v="0"/>
    <x v="0"/>
    <x v="2"/>
    <x v="1"/>
  </r>
  <r>
    <x v="10"/>
    <x v="159"/>
    <x v="0"/>
    <x v="0"/>
    <x v="0"/>
    <x v="0"/>
    <x v="0"/>
    <x v="0"/>
    <x v="0"/>
    <x v="3"/>
    <x v="4"/>
  </r>
  <r>
    <x v="10"/>
    <x v="160"/>
    <x v="5"/>
    <x v="5"/>
    <x v="5"/>
    <x v="5"/>
    <x v="5"/>
    <x v="0"/>
    <x v="0"/>
    <x v="1"/>
    <x v="1"/>
  </r>
  <r>
    <x v="10"/>
    <x v="161"/>
    <x v="6"/>
    <x v="6"/>
    <x v="6"/>
    <x v="6"/>
    <x v="2"/>
    <x v="0"/>
    <x v="0"/>
    <x v="0"/>
    <x v="2"/>
  </r>
  <r>
    <x v="10"/>
    <x v="162"/>
    <x v="6"/>
    <x v="6"/>
    <x v="6"/>
    <x v="6"/>
    <x v="2"/>
    <x v="0"/>
    <x v="0"/>
    <x v="2"/>
    <x v="1"/>
  </r>
  <r>
    <x v="10"/>
    <x v="163"/>
    <x v="0"/>
    <x v="0"/>
    <x v="0"/>
    <x v="0"/>
    <x v="0"/>
    <x v="0"/>
    <x v="0"/>
    <x v="2"/>
    <x v="2"/>
  </r>
  <r>
    <x v="10"/>
    <x v="164"/>
    <x v="0"/>
    <x v="0"/>
    <x v="0"/>
    <x v="0"/>
    <x v="0"/>
    <x v="0"/>
    <x v="0"/>
    <x v="2"/>
    <x v="2"/>
  </r>
  <r>
    <x v="10"/>
    <x v="165"/>
    <x v="3"/>
    <x v="3"/>
    <x v="3"/>
    <x v="3"/>
    <x v="3"/>
    <x v="1"/>
    <x v="1"/>
    <x v="2"/>
    <x v="4"/>
  </r>
  <r>
    <x v="11"/>
    <x v="166"/>
    <x v="7"/>
    <x v="7"/>
    <x v="7"/>
    <x v="7"/>
    <x v="6"/>
    <x v="0"/>
    <x v="0"/>
    <x v="2"/>
    <x v="0"/>
  </r>
  <r>
    <x v="11"/>
    <x v="167"/>
    <x v="0"/>
    <x v="0"/>
    <x v="0"/>
    <x v="0"/>
    <x v="0"/>
    <x v="0"/>
    <x v="0"/>
    <x v="2"/>
    <x v="1"/>
  </r>
  <r>
    <x v="11"/>
    <x v="168"/>
    <x v="3"/>
    <x v="3"/>
    <x v="3"/>
    <x v="3"/>
    <x v="3"/>
    <x v="1"/>
    <x v="1"/>
    <x v="2"/>
    <x v="5"/>
  </r>
  <r>
    <x v="11"/>
    <x v="169"/>
    <x v="5"/>
    <x v="5"/>
    <x v="5"/>
    <x v="5"/>
    <x v="5"/>
    <x v="0"/>
    <x v="0"/>
    <x v="0"/>
    <x v="1"/>
  </r>
  <r>
    <x v="11"/>
    <x v="170"/>
    <x v="5"/>
    <x v="5"/>
    <x v="5"/>
    <x v="5"/>
    <x v="5"/>
    <x v="0"/>
    <x v="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2:D3" firstHeaderRow="0" firstDataRow="1" firstDataCol="0"/>
  <pivotFields count="11">
    <pivotField compact="0" showAll="0">
      <items count="13">
        <item x="0"/>
        <item x="1"/>
        <item x="2"/>
        <item x="3"/>
        <item x="4"/>
        <item x="5"/>
        <item x="6"/>
        <item x="7"/>
        <item x="9"/>
        <item x="10"/>
        <item x="11"/>
        <item x="8"/>
        <item t="default"/>
      </items>
    </pivotField>
    <pivotField compact="0" numFmtId="1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44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dataField="1" compact="0" numFmtId="4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4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Store Cost" fld="4" baseField="0" baseItem="0"/>
    <dataField name="Sum of Sale Price" fld="5" baseField="0" baseItem="0"/>
    <dataField name="Sum of Profit" fld="6" baseField="0" baseItem="0"/>
  </dataFields>
  <formats count="1">
    <format dxfId="1">
      <pivotArea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B6:D11" firstHeaderRow="0" firstDataRow="1" firstDataCol="1"/>
  <pivotFields count="11">
    <pivotField compact="0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9"/>
        <item h="1" x="10"/>
        <item h="1" x="11"/>
        <item h="1" x="8"/>
        <item t="default"/>
      </items>
    </pivotField>
    <pivotField compact="0" numFmtId="1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44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compact="0" numFmtId="4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4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sold" fld="2" subtotal="count" baseField="0" baseItem="0"/>
    <dataField name="Sum of Profit" fld="6" baseField="0" baseItem="0"/>
  </dataFields>
  <formats count="1">
    <format dxfId="2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2AA91-110E-4E73-A508-E7D02CE22DE7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2">
  <location ref="B14:G22" firstHeaderRow="1" firstDataRow="2" firstDataCol="1"/>
  <pivotFields count="11">
    <pivotField compact="0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9"/>
        <item h="1" x="10"/>
        <item h="1" x="11"/>
        <item h="1" x="8"/>
        <item t="default"/>
      </items>
    </pivotField>
    <pivotField compact="0" numFmtId="1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44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compact="0" numFmtId="4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4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6" baseField="0" baseItem="0"/>
  </dataFields>
  <formats count="1">
    <format dxfId="3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6">
          <x14:conditionalFormat priority="2" id="{CC7618F4-3D11-48D4-B895-05FE2296DEE3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5"/>
                  </reference>
                </references>
              </pivotArea>
            </x14:pivotAreas>
          </x14:conditionalFormat>
          <x14:conditionalFormat priority="3" id="{81311A25-E5D8-47D9-8BBB-8209D8090B8F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4"/>
                  </reference>
                </references>
              </pivotArea>
            </x14:pivotAreas>
          </x14:conditionalFormat>
          <x14:conditionalFormat priority="4" id="{A885544E-F1C0-48C1-A090-F84EA9F689C8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3"/>
                  </reference>
                </references>
              </pivotArea>
            </x14:pivotAreas>
          </x14:conditionalFormat>
          <x14:conditionalFormat priority="5" id="{7E3430D8-8610-4B83-8C3E-7BAF6F1CB480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2"/>
                  </reference>
                </references>
              </pivotArea>
            </x14:pivotAreas>
          </x14:conditionalFormat>
          <x14:conditionalFormat priority="6" id="{DA8C85C4-CECE-4F28-A170-CE51C417DDFE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1"/>
                  </reference>
                </references>
              </pivotArea>
            </x14:pivotAreas>
          </x14:conditionalFormat>
          <x14:conditionalFormat priority="7" id="{AB7DD0E8-9A4A-48A2-A815-C9B38853B8D8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9" count="4" selected="0">
                    <x v="0"/>
                    <x v="1"/>
                    <x v="2"/>
                    <x v="3"/>
                  </reference>
                  <reference field="10" count="1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I3:V14" firstHeaderRow="1" firstDataRow="2" firstDataCol="1" rowPageCount="1" colPageCount="1"/>
  <pivotFields count="11">
    <pivotField axis="axisCol" compact="0" multipleItemSelectionAllowed="1" showAll="0" sortType="ascending">
      <items count="13">
        <item x="0"/>
        <item x="1"/>
        <item x="3"/>
        <item x="5"/>
        <item x="6"/>
        <item x="2"/>
        <item x="4"/>
        <item x="7"/>
        <item x="9"/>
        <item x="10"/>
        <item x="11"/>
        <item x="8"/>
        <item t="default"/>
      </items>
    </pivotField>
    <pivotField compact="0" numFmtId="1" showAll="0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44" showAll="0">
      <items count="11">
        <item x="4"/>
        <item x="6"/>
        <item x="2"/>
        <item x="8"/>
        <item x="1"/>
        <item x="9"/>
        <item x="5"/>
        <item x="0"/>
        <item x="7"/>
        <item x="3"/>
        <item t="default"/>
      </items>
    </pivotField>
    <pivotField compact="0" numFmtId="4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4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compact="0" showAll="0">
      <items count="3">
        <item x="1"/>
        <item x="0"/>
        <item t="default"/>
      </items>
    </pivotField>
    <pivotField axis="axisPage"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9" item="0" hier="-1"/>
  </pageFields>
  <dataFields count="1">
    <dataField name="Sum of Profit" fld="6" baseField="0" baseItem="0" numFmtId="44"/>
  </dataFields>
  <formats count="41">
    <format dxfId="44">
      <pivotArea collapsedLevelsAreSubtotals="1" fieldPosition="0"/>
    </format>
    <format dxfId="43">
      <pivotArea collapsedLevelsAreSubtotals="1" fieldPosition="0"/>
    </format>
    <format dxfId="42">
      <pivotArea collapsedLevelsAreSubtotals="1" fieldPosition="0"/>
    </format>
    <format dxfId="41">
      <pivotArea dataOnly="0" labelOnly="1" grandCol="1" fieldPosition="0"/>
    </format>
    <format dxfId="40">
      <pivotArea collapsedLevelsAreSubtotals="1" fieldPosition="0"/>
    </format>
    <format dxfId="39">
      <pivotArea collapsedLevelsAreSubtotals="1" fieldPosition="0">
        <references count="1">
          <reference field="0" count="1" selected="0">
            <x v="0"/>
          </reference>
        </references>
      </pivotArea>
    </format>
    <format dxfId="38">
      <pivotArea collapsedLevelsAreSubtotals="1" fieldPosition="0">
        <references count="1">
          <reference field="0" count="1" selected="0">
            <x v="1"/>
          </reference>
        </references>
      </pivotArea>
    </format>
    <format dxfId="37">
      <pivotArea collapsedLevelsAreSubtotals="1" fieldPosition="0">
        <references count="1">
          <reference field="0" count="1" selected="0">
            <x v="5"/>
          </reference>
        </references>
      </pivotArea>
    </format>
    <format dxfId="36">
      <pivotArea collapsedLevelsAreSubtotals="1" fieldPosition="0">
        <references count="1">
          <reference field="0" count="1" selected="0">
            <x v="2"/>
          </reference>
        </references>
      </pivotArea>
    </format>
    <format dxfId="35">
      <pivotArea collapsedLevelsAreSubtotals="1" fieldPosition="0">
        <references count="1">
          <reference field="0" count="1" selected="0">
            <x v="6"/>
          </reference>
        </references>
      </pivotArea>
    </format>
    <format dxfId="34">
      <pivotArea collapsedLevelsAreSubtotals="1" fieldPosition="0">
        <references count="1">
          <reference field="0" count="1" selected="0">
            <x v="3"/>
          </reference>
        </references>
      </pivotArea>
    </format>
    <format dxfId="33">
      <pivotArea collapsedLevelsAreSubtotals="1" fieldPosition="0">
        <references count="1">
          <reference field="0" count="1" selected="0">
            <x v="4"/>
          </reference>
        </references>
      </pivotArea>
    </format>
    <format dxfId="32">
      <pivotArea collapsedLevelsAreSubtotals="1" fieldPosition="0">
        <references count="1">
          <reference field="0" count="1" selected="0">
            <x v="7"/>
          </reference>
        </references>
      </pivotArea>
    </format>
    <format dxfId="31">
      <pivotArea collapsedLevelsAreSubtotals="1" fieldPosition="0">
        <references count="1">
          <reference field="0" count="1" selected="0">
            <x v="8"/>
          </reference>
        </references>
      </pivotArea>
    </format>
    <format dxfId="30">
      <pivotArea collapsedLevelsAreSubtotals="1" fieldPosition="0">
        <references count="1">
          <reference field="0" count="1" selected="0">
            <x v="9"/>
          </reference>
        </references>
      </pivotArea>
    </format>
    <format dxfId="29">
      <pivotArea collapsedLevelsAreSubtotals="1" fieldPosition="0">
        <references count="1">
          <reference field="0" count="1" selected="0">
            <x v="10"/>
          </reference>
        </references>
      </pivotArea>
    </format>
    <format dxfId="28">
      <pivotArea collapsedLevelsAreSubtotals="1" fieldPosition="0">
        <references count="1">
          <reference field="0" count="1" selected="0">
            <x v="11"/>
          </reference>
        </references>
      </pivotArea>
    </format>
    <format dxfId="27">
      <pivotArea dataOnly="0" labelOnly="1" fieldPosition="0">
        <references count="1">
          <reference field="0" count="1">
            <x v="0"/>
          </reference>
        </references>
      </pivotArea>
    </format>
    <format dxfId="26">
      <pivotArea dataOnly="0" labelOnly="1" fieldPosition="0">
        <references count="1">
          <reference field="0" count="1">
            <x v="1"/>
          </reference>
        </references>
      </pivotArea>
    </format>
    <format dxfId="25">
      <pivotArea dataOnly="0" labelOnly="1" fieldPosition="0">
        <references count="1">
          <reference field="0" count="1">
            <x v="5"/>
          </reference>
        </references>
      </pivotArea>
    </format>
    <format dxfId="24">
      <pivotArea dataOnly="0" labelOnly="1" fieldPosition="0">
        <references count="1">
          <reference field="0" count="1">
            <x v="2"/>
          </reference>
        </references>
      </pivotArea>
    </format>
    <format dxfId="23">
      <pivotArea dataOnly="0" labelOnly="1" fieldPosition="0">
        <references count="1">
          <reference field="0" count="1">
            <x v="6"/>
          </reference>
        </references>
      </pivotArea>
    </format>
    <format dxfId="22">
      <pivotArea dataOnly="0" labelOnly="1" fieldPosition="0">
        <references count="1">
          <reference field="0" count="1">
            <x v="3"/>
          </reference>
        </references>
      </pivotArea>
    </format>
    <format dxfId="21">
      <pivotArea dataOnly="0" labelOnly="1" fieldPosition="0">
        <references count="1">
          <reference field="0" count="1">
            <x v="4"/>
          </reference>
        </references>
      </pivotArea>
    </format>
    <format dxfId="20">
      <pivotArea dataOnly="0" labelOnly="1" fieldPosition="0">
        <references count="1">
          <reference field="0" count="1">
            <x v="7"/>
          </reference>
        </references>
      </pivotArea>
    </format>
    <format dxfId="19">
      <pivotArea dataOnly="0" labelOnly="1" fieldPosition="0">
        <references count="1">
          <reference field="0" count="1">
            <x v="8"/>
          </reference>
        </references>
      </pivotArea>
    </format>
    <format dxfId="18">
      <pivotArea dataOnly="0" labelOnly="1" fieldPosition="0">
        <references count="1">
          <reference field="0" count="1">
            <x v="9"/>
          </reference>
        </references>
      </pivotArea>
    </format>
    <format dxfId="17">
      <pivotArea dataOnly="0" labelOnly="1" fieldPosition="0">
        <references count="1">
          <reference field="0" count="1">
            <x v="10"/>
          </reference>
        </references>
      </pivotArea>
    </format>
    <format dxfId="16">
      <pivotArea dataOnly="0" labelOnly="1" fieldPosition="0">
        <references count="1">
          <reference field="0" count="1">
            <x v="11"/>
          </reference>
        </references>
      </pivotArea>
    </format>
    <format dxfId="15">
      <pivotArea grandRow="1" collapsedLevelsAreSubtotals="1" fieldPosition="0">
        <references count="1">
          <reference field="0" count="1" selected="0">
            <x v="0"/>
          </reference>
        </references>
      </pivotArea>
    </format>
    <format dxfId="14">
      <pivotArea grandRow="1" collapsedLevelsAreSubtotals="1" fieldPosition="0">
        <references count="1">
          <reference field="0" count="1" selected="0">
            <x v="1"/>
          </reference>
        </references>
      </pivotArea>
    </format>
    <format dxfId="13">
      <pivotArea grandRow="1" collapsedLevelsAreSubtotals="1" fieldPosition="0">
        <references count="1">
          <reference field="0" count="1" selected="0">
            <x v="5"/>
          </reference>
        </references>
      </pivotArea>
    </format>
    <format dxfId="12">
      <pivotArea grandRow="1" collapsedLevelsAreSubtotals="1" fieldPosition="0">
        <references count="1">
          <reference field="0" count="1" selected="0">
            <x v="2"/>
          </reference>
        </references>
      </pivotArea>
    </format>
    <format dxfId="11">
      <pivotArea grandRow="1" collapsedLevelsAreSubtotals="1" fieldPosition="0">
        <references count="1">
          <reference field="0" count="1" selected="0">
            <x v="6"/>
          </reference>
        </references>
      </pivotArea>
    </format>
    <format dxfId="10">
      <pivotArea grandRow="1" collapsedLevelsAreSubtotals="1" fieldPosition="0">
        <references count="1">
          <reference field="0" count="1" selected="0">
            <x v="3"/>
          </reference>
        </references>
      </pivotArea>
    </format>
    <format dxfId="9">
      <pivotArea grandRow="1" collapsedLevelsAreSubtotals="1" fieldPosition="0">
        <references count="1">
          <reference field="0" count="1" selected="0">
            <x v="4"/>
          </reference>
        </references>
      </pivotArea>
    </format>
    <format dxfId="8">
      <pivotArea grandRow="1" collapsedLevelsAreSubtotals="1" fieldPosition="0">
        <references count="1">
          <reference field="0" count="1" selected="0">
            <x v="7"/>
          </reference>
        </references>
      </pivotArea>
    </format>
    <format dxfId="7">
      <pivotArea grandRow="1" collapsedLevelsAreSubtotals="1" fieldPosition="0">
        <references count="1">
          <reference field="0" count="1" selected="0">
            <x v="8"/>
          </reference>
        </references>
      </pivotArea>
    </format>
    <format dxfId="6">
      <pivotArea grandRow="1" collapsedLevelsAreSubtotals="1" fieldPosition="0">
        <references count="1">
          <reference field="0" count="1" selected="0">
            <x v="9"/>
          </reference>
        </references>
      </pivotArea>
    </format>
    <format dxfId="5">
      <pivotArea grandRow="1" collapsedLevelsAreSubtotals="1" fieldPosition="0">
        <references count="1">
          <reference field="0" count="1" selected="0">
            <x v="10"/>
          </reference>
        </references>
      </pivotArea>
    </format>
    <format dxfId="4">
      <pivotArea grandRow="1" collapsedLevelsAreSubtotals="1" fieldPosition="0">
        <references count="1">
          <reference field="0" count="1" selected="0">
            <x v="11"/>
          </reference>
        </references>
      </pivotArea>
    </format>
  </formats>
  <pivotTableStyleInfo name="PivotStylePreset5_Accent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72">
  <tableColumns count="11">
    <tableColumn id="1" xr3:uid="{00000000-0010-0000-0000-000001000000}" name="Month" totalsRowLabel="Total" dataDxfId="50"/>
    <tableColumn id="2" xr3:uid="{00000000-0010-0000-0000-000002000000}" name="Transaction Number" dataDxfId="49"/>
    <tableColumn id="3" xr3:uid="{00000000-0010-0000-0000-000003000000}" name="Product Code"/>
    <tableColumn id="4" xr3:uid="{00000000-0010-0000-0000-000004000000}" name="Product Description"/>
    <tableColumn id="5" xr3:uid="{00000000-0010-0000-0000-000005000000}" name="Store Cost" dataDxfId="48"/>
    <tableColumn id="6" xr3:uid="{00000000-0010-0000-0000-000006000000}" name="Sale Price" dataDxfId="47"/>
    <tableColumn id="7" xr3:uid="{00000000-0010-0000-0000-000007000000}" name="Profit" dataDxfId="46">
      <calculatedColumnFormula>F2-E2</calculatedColumnFormula>
    </tableColumn>
    <tableColumn id="11" xr3:uid="{00000000-0010-0000-0000-00000B000000}" name="COM 10"/>
    <tableColumn id="8" xr3:uid="{00000000-0010-0000-0000-000008000000}" name="Commision 10%" dataDxfId="45">
      <calculatedColumnFormula>IF(H2&gt;=100,"Yes","-")</calculatedColumnFormula>
    </tableColumn>
    <tableColumn id="9" xr3:uid="{00000000-0010-0000-0000-000009000000}" name="Sales Person"/>
    <tableColumn id="10" xr3:uid="{00000000-0010-0000-0000-00000A000000}" name="Sale Location" totalsRowFunction="count"/>
  </tableColumns>
  <tableStyleInfo name="TableStylePreset8_Accent3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workbookViewId="0">
      <selection activeCell="H1" sqref="H1"/>
    </sheetView>
  </sheetViews>
  <sheetFormatPr defaultColWidth="11" defaultRowHeight="15.75"/>
  <cols>
    <col min="4" max="4" width="18.375" customWidth="1"/>
    <col min="8" max="8" width="13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6" t="s">
        <v>10</v>
      </c>
      <c r="B2" s="8">
        <v>1001</v>
      </c>
      <c r="C2">
        <v>9822</v>
      </c>
      <c r="D2" t="s">
        <v>11</v>
      </c>
      <c r="E2">
        <v>58.3</v>
      </c>
      <c r="F2">
        <v>98.4</v>
      </c>
      <c r="I2" t="s">
        <v>12</v>
      </c>
      <c r="J2" t="s">
        <v>13</v>
      </c>
    </row>
    <row r="3" spans="1:10">
      <c r="A3" s="6" t="s">
        <v>10</v>
      </c>
      <c r="B3" s="8">
        <v>1002</v>
      </c>
      <c r="C3">
        <v>2877</v>
      </c>
      <c r="D3" t="s">
        <v>14</v>
      </c>
      <c r="E3">
        <v>11.4</v>
      </c>
      <c r="F3">
        <v>16.3</v>
      </c>
      <c r="I3" t="s">
        <v>15</v>
      </c>
      <c r="J3" t="s">
        <v>16</v>
      </c>
    </row>
    <row r="4" spans="1:10">
      <c r="A4" s="6" t="s">
        <v>10</v>
      </c>
      <c r="B4" s="8">
        <v>1003</v>
      </c>
      <c r="C4">
        <v>2499</v>
      </c>
      <c r="D4" t="s">
        <v>17</v>
      </c>
      <c r="E4">
        <v>6.2</v>
      </c>
      <c r="F4">
        <v>9.1999999999999993</v>
      </c>
      <c r="I4" t="s">
        <v>18</v>
      </c>
      <c r="J4" t="s">
        <v>19</v>
      </c>
    </row>
    <row r="5" spans="1:10">
      <c r="A5" s="6" t="s">
        <v>10</v>
      </c>
      <c r="B5" s="8">
        <v>1004</v>
      </c>
      <c r="C5">
        <v>8722</v>
      </c>
      <c r="D5" t="s">
        <v>20</v>
      </c>
      <c r="E5">
        <v>344</v>
      </c>
      <c r="F5">
        <v>502</v>
      </c>
      <c r="I5" t="s">
        <v>12</v>
      </c>
      <c r="J5" t="s">
        <v>19</v>
      </c>
    </row>
    <row r="6" spans="1:10">
      <c r="A6" s="6" t="s">
        <v>10</v>
      </c>
      <c r="B6" s="8">
        <v>1005</v>
      </c>
      <c r="C6">
        <v>1109</v>
      </c>
      <c r="D6" t="s">
        <v>21</v>
      </c>
      <c r="E6">
        <v>3</v>
      </c>
      <c r="F6">
        <v>8</v>
      </c>
      <c r="I6" t="s">
        <v>18</v>
      </c>
      <c r="J6" t="s">
        <v>19</v>
      </c>
    </row>
    <row r="7" spans="1:10">
      <c r="A7" s="6" t="s">
        <v>10</v>
      </c>
      <c r="B7" s="8">
        <v>1006</v>
      </c>
      <c r="C7">
        <v>9822</v>
      </c>
      <c r="D7" t="s">
        <v>11</v>
      </c>
      <c r="E7">
        <v>58.3</v>
      </c>
      <c r="F7">
        <v>98.4</v>
      </c>
      <c r="I7" t="s">
        <v>18</v>
      </c>
      <c r="J7" t="s">
        <v>19</v>
      </c>
    </row>
    <row r="8" spans="1:10">
      <c r="A8" s="6" t="s">
        <v>10</v>
      </c>
      <c r="B8" s="8">
        <v>1007</v>
      </c>
      <c r="C8">
        <v>1109</v>
      </c>
      <c r="D8" t="s">
        <v>21</v>
      </c>
      <c r="E8">
        <v>3</v>
      </c>
      <c r="F8">
        <v>8</v>
      </c>
      <c r="I8" t="s">
        <v>22</v>
      </c>
      <c r="J8" t="s">
        <v>13</v>
      </c>
    </row>
    <row r="9" spans="1:10">
      <c r="A9" s="6" t="s">
        <v>10</v>
      </c>
      <c r="B9" s="8">
        <v>1008</v>
      </c>
      <c r="C9">
        <v>2877</v>
      </c>
      <c r="D9" t="s">
        <v>14</v>
      </c>
      <c r="E9">
        <v>11.4</v>
      </c>
      <c r="F9">
        <v>16.3</v>
      </c>
      <c r="I9" t="s">
        <v>18</v>
      </c>
      <c r="J9" t="s">
        <v>13</v>
      </c>
    </row>
    <row r="10" spans="1:10">
      <c r="A10" s="6" t="s">
        <v>10</v>
      </c>
      <c r="B10" s="8">
        <v>1009</v>
      </c>
      <c r="C10">
        <v>1109</v>
      </c>
      <c r="D10" t="s">
        <v>21</v>
      </c>
      <c r="E10">
        <v>3</v>
      </c>
      <c r="F10">
        <v>8</v>
      </c>
      <c r="I10" t="s">
        <v>18</v>
      </c>
      <c r="J10" t="s">
        <v>19</v>
      </c>
    </row>
    <row r="11" spans="1:10">
      <c r="A11" s="6" t="s">
        <v>10</v>
      </c>
      <c r="B11" s="8">
        <v>1010</v>
      </c>
      <c r="C11">
        <v>2877</v>
      </c>
      <c r="D11" t="s">
        <v>14</v>
      </c>
      <c r="E11">
        <v>11.4</v>
      </c>
      <c r="F11">
        <v>16.3</v>
      </c>
      <c r="I11" t="s">
        <v>15</v>
      </c>
      <c r="J11" t="s">
        <v>23</v>
      </c>
    </row>
    <row r="12" spans="1:10">
      <c r="A12" s="6" t="s">
        <v>10</v>
      </c>
      <c r="B12" s="8">
        <v>1011</v>
      </c>
      <c r="C12">
        <v>2877</v>
      </c>
      <c r="D12" t="s">
        <v>14</v>
      </c>
      <c r="E12">
        <v>11.4</v>
      </c>
      <c r="F12">
        <v>16.3</v>
      </c>
      <c r="I12" t="s">
        <v>15</v>
      </c>
      <c r="J12" t="s">
        <v>19</v>
      </c>
    </row>
    <row r="13" spans="1:10">
      <c r="A13" s="6" t="s">
        <v>10</v>
      </c>
      <c r="B13" s="8">
        <v>1012</v>
      </c>
      <c r="C13">
        <v>4421</v>
      </c>
      <c r="D13" t="s">
        <v>24</v>
      </c>
      <c r="E13">
        <v>45</v>
      </c>
      <c r="F13">
        <v>87</v>
      </c>
      <c r="I13" t="s">
        <v>18</v>
      </c>
      <c r="J13" t="s">
        <v>13</v>
      </c>
    </row>
    <row r="14" spans="1:10">
      <c r="A14" s="6" t="s">
        <v>10</v>
      </c>
      <c r="B14" s="8">
        <v>1013</v>
      </c>
      <c r="C14">
        <v>9212</v>
      </c>
      <c r="D14" t="s">
        <v>25</v>
      </c>
      <c r="E14">
        <v>4</v>
      </c>
      <c r="F14">
        <v>7</v>
      </c>
      <c r="I14" t="s">
        <v>22</v>
      </c>
      <c r="J14" t="s">
        <v>23</v>
      </c>
    </row>
    <row r="15" spans="1:10">
      <c r="A15" s="6" t="s">
        <v>10</v>
      </c>
      <c r="B15" s="8">
        <v>1014</v>
      </c>
      <c r="C15">
        <v>8722</v>
      </c>
      <c r="D15" t="s">
        <v>20</v>
      </c>
      <c r="E15">
        <v>344</v>
      </c>
      <c r="F15">
        <v>502</v>
      </c>
      <c r="I15" t="s">
        <v>12</v>
      </c>
      <c r="J15" t="s">
        <v>16</v>
      </c>
    </row>
    <row r="16" spans="1:10">
      <c r="A16" s="6" t="s">
        <v>10</v>
      </c>
      <c r="B16" s="8">
        <v>1015</v>
      </c>
      <c r="C16">
        <v>2877</v>
      </c>
      <c r="D16" t="s">
        <v>14</v>
      </c>
      <c r="E16">
        <v>11.4</v>
      </c>
      <c r="F16">
        <v>16.3</v>
      </c>
      <c r="I16" t="s">
        <v>22</v>
      </c>
      <c r="J16" t="s">
        <v>19</v>
      </c>
    </row>
    <row r="17" spans="1:10">
      <c r="A17" s="6" t="s">
        <v>10</v>
      </c>
      <c r="B17" s="8">
        <v>1016</v>
      </c>
      <c r="C17">
        <v>2499</v>
      </c>
      <c r="D17" t="s">
        <v>17</v>
      </c>
      <c r="E17">
        <v>6.2</v>
      </c>
      <c r="F17">
        <v>9.1999999999999993</v>
      </c>
      <c r="I17" t="s">
        <v>18</v>
      </c>
      <c r="J17" t="s">
        <v>16</v>
      </c>
    </row>
    <row r="18" spans="1:10">
      <c r="A18" s="6" t="s">
        <v>26</v>
      </c>
      <c r="B18" s="8">
        <v>1017</v>
      </c>
      <c r="C18">
        <v>2242</v>
      </c>
      <c r="D18" t="s">
        <v>27</v>
      </c>
      <c r="E18">
        <v>60</v>
      </c>
      <c r="F18">
        <v>124</v>
      </c>
      <c r="I18" t="s">
        <v>15</v>
      </c>
      <c r="J18" t="s">
        <v>13</v>
      </c>
    </row>
    <row r="19" spans="1:10">
      <c r="A19" s="6" t="s">
        <v>26</v>
      </c>
      <c r="B19" s="8">
        <v>1018</v>
      </c>
      <c r="C19">
        <v>1109</v>
      </c>
      <c r="D19" t="s">
        <v>21</v>
      </c>
      <c r="E19">
        <v>3</v>
      </c>
      <c r="F19">
        <v>8</v>
      </c>
      <c r="I19" t="s">
        <v>18</v>
      </c>
      <c r="J19" t="s">
        <v>16</v>
      </c>
    </row>
    <row r="20" spans="1:10">
      <c r="A20" s="6" t="s">
        <v>26</v>
      </c>
      <c r="B20" s="8">
        <v>1019</v>
      </c>
      <c r="C20">
        <v>2499</v>
      </c>
      <c r="D20" t="s">
        <v>17</v>
      </c>
      <c r="E20">
        <v>6.2</v>
      </c>
      <c r="F20">
        <v>9.1999999999999993</v>
      </c>
      <c r="I20" t="s">
        <v>18</v>
      </c>
      <c r="J20" t="s">
        <v>23</v>
      </c>
    </row>
    <row r="21" spans="1:10">
      <c r="A21" s="6" t="s">
        <v>26</v>
      </c>
      <c r="B21" s="8">
        <v>1020</v>
      </c>
      <c r="C21">
        <v>2499</v>
      </c>
      <c r="D21" t="s">
        <v>17</v>
      </c>
      <c r="E21">
        <v>6.2</v>
      </c>
      <c r="F21">
        <v>9.1999999999999993</v>
      </c>
      <c r="I21" t="s">
        <v>18</v>
      </c>
      <c r="J21" t="s">
        <v>28</v>
      </c>
    </row>
    <row r="22" spans="1:10">
      <c r="A22" s="6" t="s">
        <v>26</v>
      </c>
      <c r="B22" s="8">
        <v>1021</v>
      </c>
      <c r="C22">
        <v>1109</v>
      </c>
      <c r="D22" t="s">
        <v>21</v>
      </c>
      <c r="E22">
        <v>3</v>
      </c>
      <c r="F22">
        <v>8</v>
      </c>
      <c r="I22" t="s">
        <v>15</v>
      </c>
      <c r="J22" t="s">
        <v>23</v>
      </c>
    </row>
    <row r="23" spans="1:10">
      <c r="A23" s="6" t="s">
        <v>26</v>
      </c>
      <c r="B23" s="8">
        <v>1022</v>
      </c>
      <c r="C23">
        <v>2877</v>
      </c>
      <c r="D23" t="s">
        <v>14</v>
      </c>
      <c r="E23">
        <v>11.4</v>
      </c>
      <c r="F23">
        <v>16.3</v>
      </c>
      <c r="I23" t="s">
        <v>18</v>
      </c>
      <c r="J23" t="s">
        <v>29</v>
      </c>
    </row>
    <row r="24" spans="1:10">
      <c r="A24" s="6" t="s">
        <v>26</v>
      </c>
      <c r="B24" s="8">
        <v>1023</v>
      </c>
      <c r="C24">
        <v>1109</v>
      </c>
      <c r="D24" t="s">
        <v>21</v>
      </c>
      <c r="E24">
        <v>3</v>
      </c>
      <c r="F24">
        <v>8</v>
      </c>
      <c r="I24" t="s">
        <v>22</v>
      </c>
      <c r="J24" t="s">
        <v>13</v>
      </c>
    </row>
    <row r="25" spans="1:10">
      <c r="A25" s="6" t="s">
        <v>26</v>
      </c>
      <c r="B25" s="8">
        <v>1024</v>
      </c>
      <c r="C25">
        <v>9212</v>
      </c>
      <c r="D25" t="s">
        <v>25</v>
      </c>
      <c r="E25">
        <v>4</v>
      </c>
      <c r="F25">
        <v>7</v>
      </c>
      <c r="I25" t="s">
        <v>15</v>
      </c>
      <c r="J25" t="s">
        <v>29</v>
      </c>
    </row>
    <row r="26" spans="1:10">
      <c r="A26" s="6" t="s">
        <v>26</v>
      </c>
      <c r="B26" s="8">
        <v>1025</v>
      </c>
      <c r="C26">
        <v>2877</v>
      </c>
      <c r="D26" t="s">
        <v>14</v>
      </c>
      <c r="E26">
        <v>11.4</v>
      </c>
      <c r="F26">
        <v>16.3</v>
      </c>
      <c r="I26" t="s">
        <v>22</v>
      </c>
      <c r="J26" t="s">
        <v>28</v>
      </c>
    </row>
    <row r="27" spans="1:10">
      <c r="A27" s="6" t="s">
        <v>26</v>
      </c>
      <c r="B27" s="8">
        <v>1026</v>
      </c>
      <c r="C27">
        <v>6119</v>
      </c>
      <c r="D27" t="s">
        <v>30</v>
      </c>
      <c r="E27">
        <v>9</v>
      </c>
      <c r="F27">
        <v>14</v>
      </c>
      <c r="I27" t="s">
        <v>22</v>
      </c>
      <c r="J27" t="s">
        <v>13</v>
      </c>
    </row>
    <row r="28" spans="1:10">
      <c r="A28" s="6" t="s">
        <v>26</v>
      </c>
      <c r="B28" s="8">
        <v>1027</v>
      </c>
      <c r="C28">
        <v>6119</v>
      </c>
      <c r="D28" t="s">
        <v>30</v>
      </c>
      <c r="E28">
        <v>9</v>
      </c>
      <c r="F28">
        <v>14</v>
      </c>
      <c r="I28" t="s">
        <v>12</v>
      </c>
      <c r="J28" t="s">
        <v>28</v>
      </c>
    </row>
    <row r="29" spans="1:10">
      <c r="A29" s="6" t="s">
        <v>26</v>
      </c>
      <c r="B29" s="8">
        <v>1028</v>
      </c>
      <c r="C29">
        <v>8722</v>
      </c>
      <c r="D29" t="s">
        <v>20</v>
      </c>
      <c r="E29">
        <v>344</v>
      </c>
      <c r="F29">
        <v>502</v>
      </c>
      <c r="I29" t="s">
        <v>12</v>
      </c>
      <c r="J29" t="s">
        <v>19</v>
      </c>
    </row>
    <row r="30" spans="1:10">
      <c r="A30" s="6" t="s">
        <v>26</v>
      </c>
      <c r="B30" s="8">
        <v>1029</v>
      </c>
      <c r="C30">
        <v>2499</v>
      </c>
      <c r="D30" t="s">
        <v>17</v>
      </c>
      <c r="E30">
        <v>6.2</v>
      </c>
      <c r="F30">
        <v>9.1999999999999993</v>
      </c>
      <c r="I30" t="s">
        <v>15</v>
      </c>
      <c r="J30" t="s">
        <v>19</v>
      </c>
    </row>
    <row r="31" spans="1:10">
      <c r="A31" s="6" t="s">
        <v>26</v>
      </c>
      <c r="B31" s="8">
        <v>1030</v>
      </c>
      <c r="C31">
        <v>4421</v>
      </c>
      <c r="D31" t="s">
        <v>24</v>
      </c>
      <c r="E31">
        <v>45</v>
      </c>
      <c r="F31">
        <v>87</v>
      </c>
      <c r="I31" t="s">
        <v>15</v>
      </c>
      <c r="J31" t="s">
        <v>28</v>
      </c>
    </row>
    <row r="32" spans="1:10">
      <c r="A32" s="6" t="s">
        <v>26</v>
      </c>
      <c r="B32" s="8">
        <v>1031</v>
      </c>
      <c r="C32">
        <v>1109</v>
      </c>
      <c r="D32" t="s">
        <v>21</v>
      </c>
      <c r="E32">
        <v>3</v>
      </c>
      <c r="F32">
        <v>8</v>
      </c>
      <c r="I32" t="s">
        <v>15</v>
      </c>
      <c r="J32" t="s">
        <v>16</v>
      </c>
    </row>
    <row r="33" spans="1:10">
      <c r="A33" s="6" t="s">
        <v>26</v>
      </c>
      <c r="B33" s="8">
        <v>1032</v>
      </c>
      <c r="C33">
        <v>2877</v>
      </c>
      <c r="D33" t="s">
        <v>14</v>
      </c>
      <c r="E33">
        <v>11.4</v>
      </c>
      <c r="F33">
        <v>16.3</v>
      </c>
      <c r="I33" t="s">
        <v>12</v>
      </c>
      <c r="J33" t="s">
        <v>19</v>
      </c>
    </row>
    <row r="34" spans="1:10">
      <c r="A34" s="6" t="s">
        <v>26</v>
      </c>
      <c r="B34" s="8">
        <v>1033</v>
      </c>
      <c r="C34">
        <v>9822</v>
      </c>
      <c r="D34" t="s">
        <v>11</v>
      </c>
      <c r="E34">
        <v>58.3</v>
      </c>
      <c r="F34">
        <v>98.4</v>
      </c>
      <c r="I34" t="s">
        <v>15</v>
      </c>
      <c r="J34" t="s">
        <v>16</v>
      </c>
    </row>
    <row r="35" spans="1:10">
      <c r="A35" s="6" t="s">
        <v>26</v>
      </c>
      <c r="B35" s="8">
        <v>1034</v>
      </c>
      <c r="C35">
        <v>2877</v>
      </c>
      <c r="D35" t="s">
        <v>14</v>
      </c>
      <c r="E35">
        <v>11.4</v>
      </c>
      <c r="F35">
        <v>16.3</v>
      </c>
      <c r="I35" t="s">
        <v>15</v>
      </c>
      <c r="J35" t="s">
        <v>23</v>
      </c>
    </row>
    <row r="36" spans="1:10">
      <c r="A36" s="6" t="s">
        <v>31</v>
      </c>
      <c r="B36" s="8">
        <v>1035</v>
      </c>
      <c r="C36">
        <v>2499</v>
      </c>
      <c r="D36" t="s">
        <v>17</v>
      </c>
      <c r="E36">
        <v>6.2</v>
      </c>
      <c r="F36">
        <v>9.1999999999999993</v>
      </c>
      <c r="I36" t="s">
        <v>22</v>
      </c>
      <c r="J36" t="s">
        <v>16</v>
      </c>
    </row>
    <row r="37" spans="1:10">
      <c r="A37" s="6" t="s">
        <v>31</v>
      </c>
      <c r="B37" s="8">
        <v>1036</v>
      </c>
      <c r="C37">
        <v>2499</v>
      </c>
      <c r="D37" t="s">
        <v>17</v>
      </c>
      <c r="E37">
        <v>6.2</v>
      </c>
      <c r="F37">
        <v>9.1999999999999993</v>
      </c>
      <c r="I37" t="s">
        <v>15</v>
      </c>
      <c r="J37" t="s">
        <v>28</v>
      </c>
    </row>
    <row r="38" spans="1:10">
      <c r="A38" s="6" t="s">
        <v>31</v>
      </c>
      <c r="B38" s="8">
        <v>1037</v>
      </c>
      <c r="C38">
        <v>6622</v>
      </c>
      <c r="D38" t="s">
        <v>32</v>
      </c>
      <c r="E38">
        <v>42</v>
      </c>
      <c r="F38">
        <v>77</v>
      </c>
      <c r="I38" t="s">
        <v>15</v>
      </c>
      <c r="J38" t="s">
        <v>28</v>
      </c>
    </row>
    <row r="39" spans="1:10">
      <c r="A39" s="6" t="s">
        <v>31</v>
      </c>
      <c r="B39" s="8">
        <v>1038</v>
      </c>
      <c r="C39">
        <v>2499</v>
      </c>
      <c r="D39" t="s">
        <v>17</v>
      </c>
      <c r="E39">
        <v>6.2</v>
      </c>
      <c r="F39">
        <v>9.1999999999999993</v>
      </c>
      <c r="I39" t="s">
        <v>15</v>
      </c>
      <c r="J39" t="s">
        <v>28</v>
      </c>
    </row>
    <row r="40" spans="1:10">
      <c r="A40" s="6" t="s">
        <v>31</v>
      </c>
      <c r="B40" s="8">
        <v>1039</v>
      </c>
      <c r="C40">
        <v>2877</v>
      </c>
      <c r="D40" t="s">
        <v>14</v>
      </c>
      <c r="E40">
        <v>11.4</v>
      </c>
      <c r="F40">
        <v>16.3</v>
      </c>
      <c r="I40" t="s">
        <v>15</v>
      </c>
      <c r="J40" t="s">
        <v>16</v>
      </c>
    </row>
    <row r="41" spans="1:10">
      <c r="A41" s="6" t="s">
        <v>31</v>
      </c>
      <c r="B41" s="8">
        <v>1040</v>
      </c>
      <c r="C41">
        <v>1109</v>
      </c>
      <c r="D41" t="s">
        <v>21</v>
      </c>
      <c r="E41">
        <v>3</v>
      </c>
      <c r="F41">
        <v>8</v>
      </c>
      <c r="I41" t="s">
        <v>15</v>
      </c>
      <c r="J41" t="s">
        <v>19</v>
      </c>
    </row>
    <row r="42" spans="1:10">
      <c r="A42" s="6" t="s">
        <v>31</v>
      </c>
      <c r="B42" s="8">
        <v>1041</v>
      </c>
      <c r="C42">
        <v>2499</v>
      </c>
      <c r="D42" t="s">
        <v>17</v>
      </c>
      <c r="E42">
        <v>6.2</v>
      </c>
      <c r="F42">
        <v>9.1999999999999993</v>
      </c>
      <c r="I42" t="s">
        <v>12</v>
      </c>
      <c r="J42" t="s">
        <v>13</v>
      </c>
    </row>
    <row r="43" spans="1:10">
      <c r="A43" s="6" t="s">
        <v>31</v>
      </c>
      <c r="B43" s="8">
        <v>1042</v>
      </c>
      <c r="C43">
        <v>8722</v>
      </c>
      <c r="D43" t="s">
        <v>20</v>
      </c>
      <c r="E43">
        <v>344</v>
      </c>
      <c r="F43">
        <v>502</v>
      </c>
      <c r="I43" t="s">
        <v>18</v>
      </c>
      <c r="J43" t="s">
        <v>13</v>
      </c>
    </row>
    <row r="44" spans="1:10">
      <c r="A44" s="6" t="s">
        <v>31</v>
      </c>
      <c r="B44" s="8">
        <v>1043</v>
      </c>
      <c r="C44">
        <v>2242</v>
      </c>
      <c r="D44" t="s">
        <v>27</v>
      </c>
      <c r="E44">
        <v>60</v>
      </c>
      <c r="F44">
        <v>124</v>
      </c>
      <c r="I44" t="s">
        <v>18</v>
      </c>
      <c r="J44" t="s">
        <v>16</v>
      </c>
    </row>
    <row r="45" spans="1:10">
      <c r="A45" s="6" t="s">
        <v>31</v>
      </c>
      <c r="B45" s="8">
        <v>1044</v>
      </c>
      <c r="C45">
        <v>2877</v>
      </c>
      <c r="D45" t="s">
        <v>14</v>
      </c>
      <c r="E45">
        <v>11.4</v>
      </c>
      <c r="F45">
        <v>16.3</v>
      </c>
      <c r="I45" t="s">
        <v>18</v>
      </c>
      <c r="J45" t="s">
        <v>16</v>
      </c>
    </row>
    <row r="46" spans="1:10">
      <c r="A46" s="6" t="s">
        <v>31</v>
      </c>
      <c r="B46" s="8">
        <v>1045</v>
      </c>
      <c r="C46">
        <v>8722</v>
      </c>
      <c r="D46" t="s">
        <v>20</v>
      </c>
      <c r="E46">
        <v>344</v>
      </c>
      <c r="F46">
        <v>502</v>
      </c>
      <c r="I46" t="s">
        <v>22</v>
      </c>
      <c r="J46" t="s">
        <v>19</v>
      </c>
    </row>
    <row r="47" spans="1:10">
      <c r="A47" s="6" t="s">
        <v>31</v>
      </c>
      <c r="B47" s="8">
        <v>1046</v>
      </c>
      <c r="C47">
        <v>6119</v>
      </c>
      <c r="D47" t="s">
        <v>30</v>
      </c>
      <c r="E47">
        <v>9</v>
      </c>
      <c r="F47">
        <v>14</v>
      </c>
      <c r="I47" t="s">
        <v>15</v>
      </c>
      <c r="J47" t="s">
        <v>29</v>
      </c>
    </row>
    <row r="48" spans="1:10">
      <c r="A48" s="6" t="s">
        <v>31</v>
      </c>
      <c r="B48" s="8">
        <v>1047</v>
      </c>
      <c r="C48">
        <v>6622</v>
      </c>
      <c r="D48" t="s">
        <v>32</v>
      </c>
      <c r="E48">
        <v>42</v>
      </c>
      <c r="F48">
        <v>77</v>
      </c>
      <c r="I48" t="s">
        <v>22</v>
      </c>
      <c r="J48" t="s">
        <v>19</v>
      </c>
    </row>
    <row r="49" spans="1:10">
      <c r="A49" s="6" t="s">
        <v>31</v>
      </c>
      <c r="B49" s="8">
        <v>1048</v>
      </c>
      <c r="C49">
        <v>8722</v>
      </c>
      <c r="D49" t="s">
        <v>20</v>
      </c>
      <c r="E49">
        <v>344</v>
      </c>
      <c r="F49">
        <v>502</v>
      </c>
      <c r="I49" t="s">
        <v>12</v>
      </c>
      <c r="J49" t="s">
        <v>19</v>
      </c>
    </row>
    <row r="50" spans="1:10">
      <c r="A50" s="6" t="s">
        <v>33</v>
      </c>
      <c r="B50" s="8">
        <v>1049</v>
      </c>
      <c r="C50">
        <v>2499</v>
      </c>
      <c r="D50" t="s">
        <v>17</v>
      </c>
      <c r="E50">
        <v>6.2</v>
      </c>
      <c r="F50">
        <v>9.1999999999999993</v>
      </c>
      <c r="I50" t="s">
        <v>12</v>
      </c>
      <c r="J50" t="s">
        <v>23</v>
      </c>
    </row>
    <row r="51" spans="1:10">
      <c r="A51" s="6" t="s">
        <v>33</v>
      </c>
      <c r="B51" s="8">
        <v>1050</v>
      </c>
      <c r="C51">
        <v>2877</v>
      </c>
      <c r="D51" t="s">
        <v>14</v>
      </c>
      <c r="E51">
        <v>11.4</v>
      </c>
      <c r="F51">
        <v>16.3</v>
      </c>
      <c r="I51" t="s">
        <v>12</v>
      </c>
      <c r="J51" t="s">
        <v>19</v>
      </c>
    </row>
    <row r="52" spans="1:10">
      <c r="A52" s="6" t="s">
        <v>33</v>
      </c>
      <c r="B52" s="8">
        <v>1051</v>
      </c>
      <c r="C52">
        <v>6119</v>
      </c>
      <c r="D52" t="s">
        <v>30</v>
      </c>
      <c r="E52">
        <v>9</v>
      </c>
      <c r="F52">
        <v>14</v>
      </c>
      <c r="I52" t="s">
        <v>18</v>
      </c>
      <c r="J52" t="s">
        <v>29</v>
      </c>
    </row>
    <row r="53" spans="1:10">
      <c r="A53" s="6" t="s">
        <v>33</v>
      </c>
      <c r="B53" s="8">
        <v>1052</v>
      </c>
      <c r="C53">
        <v>6622</v>
      </c>
      <c r="D53" t="s">
        <v>32</v>
      </c>
      <c r="E53">
        <v>42</v>
      </c>
      <c r="F53">
        <v>77</v>
      </c>
      <c r="I53" t="s">
        <v>18</v>
      </c>
      <c r="J53" t="s">
        <v>19</v>
      </c>
    </row>
    <row r="54" spans="1:10">
      <c r="A54" s="6" t="s">
        <v>33</v>
      </c>
      <c r="B54" s="8">
        <v>1053</v>
      </c>
      <c r="C54">
        <v>2242</v>
      </c>
      <c r="D54" t="s">
        <v>27</v>
      </c>
      <c r="E54">
        <v>60</v>
      </c>
      <c r="F54">
        <v>124</v>
      </c>
      <c r="I54" t="s">
        <v>12</v>
      </c>
      <c r="J54" t="s">
        <v>16</v>
      </c>
    </row>
    <row r="55" spans="1:10">
      <c r="A55" s="6" t="s">
        <v>33</v>
      </c>
      <c r="B55" s="8">
        <v>1054</v>
      </c>
      <c r="C55">
        <v>4421</v>
      </c>
      <c r="D55" t="s">
        <v>24</v>
      </c>
      <c r="E55">
        <v>45</v>
      </c>
      <c r="F55">
        <v>87</v>
      </c>
      <c r="I55" t="s">
        <v>18</v>
      </c>
      <c r="J55" t="s">
        <v>28</v>
      </c>
    </row>
    <row r="56" spans="1:10">
      <c r="A56" s="6" t="s">
        <v>33</v>
      </c>
      <c r="B56" s="8">
        <v>1055</v>
      </c>
      <c r="C56">
        <v>6119</v>
      </c>
      <c r="D56" t="s">
        <v>30</v>
      </c>
      <c r="E56">
        <v>9</v>
      </c>
      <c r="F56">
        <v>14</v>
      </c>
      <c r="I56" t="s">
        <v>15</v>
      </c>
      <c r="J56" t="s">
        <v>28</v>
      </c>
    </row>
    <row r="57" spans="1:10">
      <c r="A57" s="6" t="s">
        <v>33</v>
      </c>
      <c r="B57" s="8">
        <v>1056</v>
      </c>
      <c r="C57">
        <v>1109</v>
      </c>
      <c r="D57" t="s">
        <v>21</v>
      </c>
      <c r="E57">
        <v>3</v>
      </c>
      <c r="F57">
        <v>8</v>
      </c>
      <c r="I57" t="s">
        <v>18</v>
      </c>
      <c r="J57" t="s">
        <v>16</v>
      </c>
    </row>
    <row r="58" spans="1:10">
      <c r="A58" s="6" t="s">
        <v>33</v>
      </c>
      <c r="B58" s="8">
        <v>1057</v>
      </c>
      <c r="C58">
        <v>2499</v>
      </c>
      <c r="D58" t="s">
        <v>17</v>
      </c>
      <c r="E58">
        <v>6.2</v>
      </c>
      <c r="F58">
        <v>9.1999999999999993</v>
      </c>
      <c r="I58" t="s">
        <v>15</v>
      </c>
      <c r="J58" t="s">
        <v>16</v>
      </c>
    </row>
    <row r="59" spans="1:10">
      <c r="A59" s="6" t="s">
        <v>33</v>
      </c>
      <c r="B59" s="8">
        <v>1058</v>
      </c>
      <c r="C59">
        <v>6119</v>
      </c>
      <c r="D59" t="s">
        <v>30</v>
      </c>
      <c r="E59">
        <v>9</v>
      </c>
      <c r="F59">
        <v>14</v>
      </c>
      <c r="I59" t="s">
        <v>22</v>
      </c>
      <c r="J59" t="s">
        <v>19</v>
      </c>
    </row>
    <row r="60" spans="1:10">
      <c r="A60" s="6" t="s">
        <v>33</v>
      </c>
      <c r="B60" s="8">
        <v>1059</v>
      </c>
      <c r="C60">
        <v>2242</v>
      </c>
      <c r="D60" t="s">
        <v>27</v>
      </c>
      <c r="E60">
        <v>60</v>
      </c>
      <c r="F60">
        <v>124</v>
      </c>
      <c r="I60" t="s">
        <v>18</v>
      </c>
      <c r="J60" t="s">
        <v>19</v>
      </c>
    </row>
    <row r="61" spans="1:10">
      <c r="A61" s="6" t="s">
        <v>33</v>
      </c>
      <c r="B61" s="8">
        <v>1060</v>
      </c>
      <c r="C61">
        <v>6119</v>
      </c>
      <c r="D61" t="s">
        <v>30</v>
      </c>
      <c r="E61">
        <v>9</v>
      </c>
      <c r="F61">
        <v>14</v>
      </c>
      <c r="I61" t="s">
        <v>18</v>
      </c>
      <c r="J61" t="s">
        <v>28</v>
      </c>
    </row>
    <row r="62" spans="1:10">
      <c r="A62" s="6" t="s">
        <v>34</v>
      </c>
      <c r="B62" s="8">
        <v>1061</v>
      </c>
      <c r="C62">
        <v>1109</v>
      </c>
      <c r="D62" t="s">
        <v>21</v>
      </c>
      <c r="E62">
        <v>3</v>
      </c>
      <c r="F62">
        <v>8</v>
      </c>
      <c r="I62" t="s">
        <v>18</v>
      </c>
      <c r="J62" t="s">
        <v>28</v>
      </c>
    </row>
    <row r="63" spans="1:10">
      <c r="A63" s="6" t="s">
        <v>34</v>
      </c>
      <c r="B63" s="8">
        <v>1062</v>
      </c>
      <c r="C63">
        <v>2499</v>
      </c>
      <c r="D63" t="s">
        <v>17</v>
      </c>
      <c r="E63">
        <v>6.2</v>
      </c>
      <c r="F63">
        <v>9.1999999999999993</v>
      </c>
      <c r="I63" t="s">
        <v>12</v>
      </c>
      <c r="J63" t="s">
        <v>19</v>
      </c>
    </row>
    <row r="64" spans="1:10">
      <c r="A64" s="6" t="s">
        <v>34</v>
      </c>
      <c r="B64" s="8">
        <v>1063</v>
      </c>
      <c r="C64">
        <v>1109</v>
      </c>
      <c r="D64" t="s">
        <v>21</v>
      </c>
      <c r="E64">
        <v>3</v>
      </c>
      <c r="F64">
        <v>8</v>
      </c>
      <c r="I64" t="s">
        <v>18</v>
      </c>
      <c r="J64" t="s">
        <v>16</v>
      </c>
    </row>
    <row r="65" spans="1:10">
      <c r="A65" s="6" t="s">
        <v>34</v>
      </c>
      <c r="B65" s="8">
        <v>1064</v>
      </c>
      <c r="C65">
        <v>2499</v>
      </c>
      <c r="D65" t="s">
        <v>17</v>
      </c>
      <c r="E65">
        <v>6.2</v>
      </c>
      <c r="F65">
        <v>9.1999999999999993</v>
      </c>
      <c r="I65" t="s">
        <v>22</v>
      </c>
      <c r="J65" t="s">
        <v>19</v>
      </c>
    </row>
    <row r="66" spans="1:10">
      <c r="A66" s="6" t="s">
        <v>34</v>
      </c>
      <c r="B66" s="8">
        <v>1065</v>
      </c>
      <c r="C66">
        <v>2499</v>
      </c>
      <c r="D66" t="s">
        <v>17</v>
      </c>
      <c r="E66">
        <v>6.2</v>
      </c>
      <c r="F66">
        <v>9.1999999999999993</v>
      </c>
      <c r="I66" t="s">
        <v>18</v>
      </c>
      <c r="J66" t="s">
        <v>13</v>
      </c>
    </row>
    <row r="67" spans="1:10">
      <c r="A67" s="6" t="s">
        <v>34</v>
      </c>
      <c r="B67" s="8">
        <v>1066</v>
      </c>
      <c r="C67">
        <v>2877</v>
      </c>
      <c r="D67" t="s">
        <v>14</v>
      </c>
      <c r="E67">
        <v>11.4</v>
      </c>
      <c r="F67">
        <v>16.3</v>
      </c>
      <c r="I67" t="s">
        <v>18</v>
      </c>
      <c r="J67" t="s">
        <v>28</v>
      </c>
    </row>
    <row r="68" spans="1:10">
      <c r="A68" s="6" t="s">
        <v>34</v>
      </c>
      <c r="B68" s="8">
        <v>1067</v>
      </c>
      <c r="C68">
        <v>2877</v>
      </c>
      <c r="D68" t="s">
        <v>14</v>
      </c>
      <c r="E68">
        <v>11.4</v>
      </c>
      <c r="F68">
        <v>16.3</v>
      </c>
      <c r="I68" t="s">
        <v>18</v>
      </c>
      <c r="J68" t="s">
        <v>29</v>
      </c>
    </row>
    <row r="69" spans="1:10">
      <c r="A69" s="6" t="s">
        <v>34</v>
      </c>
      <c r="B69" s="8">
        <v>1068</v>
      </c>
      <c r="C69">
        <v>6119</v>
      </c>
      <c r="D69" t="s">
        <v>30</v>
      </c>
      <c r="E69">
        <v>9</v>
      </c>
      <c r="F69">
        <v>14</v>
      </c>
      <c r="I69" t="s">
        <v>15</v>
      </c>
      <c r="J69" t="s">
        <v>16</v>
      </c>
    </row>
    <row r="70" spans="1:10">
      <c r="A70" s="6" t="s">
        <v>34</v>
      </c>
      <c r="B70" s="8">
        <v>1069</v>
      </c>
      <c r="C70">
        <v>1109</v>
      </c>
      <c r="D70" t="s">
        <v>21</v>
      </c>
      <c r="E70">
        <v>3</v>
      </c>
      <c r="F70">
        <v>8</v>
      </c>
      <c r="I70" t="s">
        <v>18</v>
      </c>
      <c r="J70" t="s">
        <v>19</v>
      </c>
    </row>
    <row r="71" spans="1:10">
      <c r="A71" s="6" t="s">
        <v>34</v>
      </c>
      <c r="B71" s="8">
        <v>1070</v>
      </c>
      <c r="C71">
        <v>2499</v>
      </c>
      <c r="D71" t="s">
        <v>17</v>
      </c>
      <c r="E71">
        <v>6.2</v>
      </c>
      <c r="F71">
        <v>9.1999999999999993</v>
      </c>
      <c r="I71" t="s">
        <v>22</v>
      </c>
      <c r="J71" t="s">
        <v>19</v>
      </c>
    </row>
    <row r="72" spans="1:10">
      <c r="A72" s="6" t="s">
        <v>34</v>
      </c>
      <c r="B72" s="8">
        <v>1071</v>
      </c>
      <c r="C72">
        <v>1109</v>
      </c>
      <c r="D72" t="s">
        <v>21</v>
      </c>
      <c r="E72">
        <v>3</v>
      </c>
      <c r="F72">
        <v>8</v>
      </c>
      <c r="I72" t="s">
        <v>12</v>
      </c>
      <c r="J72" t="s">
        <v>19</v>
      </c>
    </row>
    <row r="73" spans="1:10">
      <c r="A73" s="6" t="s">
        <v>34</v>
      </c>
      <c r="B73" s="8">
        <v>1072</v>
      </c>
      <c r="C73">
        <v>1109</v>
      </c>
      <c r="D73" t="s">
        <v>21</v>
      </c>
      <c r="E73">
        <v>3</v>
      </c>
      <c r="F73">
        <v>8</v>
      </c>
      <c r="I73" t="s">
        <v>18</v>
      </c>
      <c r="J73" t="s">
        <v>28</v>
      </c>
    </row>
    <row r="74" spans="1:10">
      <c r="A74" s="6" t="s">
        <v>34</v>
      </c>
      <c r="B74" s="8">
        <v>1073</v>
      </c>
      <c r="C74">
        <v>6622</v>
      </c>
      <c r="D74" t="s">
        <v>32</v>
      </c>
      <c r="E74">
        <v>42</v>
      </c>
      <c r="F74">
        <v>77</v>
      </c>
      <c r="I74" t="s">
        <v>18</v>
      </c>
      <c r="J74" t="s">
        <v>16</v>
      </c>
    </row>
    <row r="75" spans="1:10">
      <c r="A75" s="6" t="s">
        <v>34</v>
      </c>
      <c r="B75" s="8">
        <v>1074</v>
      </c>
      <c r="C75">
        <v>2877</v>
      </c>
      <c r="D75" t="s">
        <v>14</v>
      </c>
      <c r="E75">
        <v>11.4</v>
      </c>
      <c r="F75">
        <v>16.3</v>
      </c>
      <c r="I75" t="s">
        <v>18</v>
      </c>
      <c r="J75" t="s">
        <v>19</v>
      </c>
    </row>
    <row r="76" spans="1:10">
      <c r="A76" s="6" t="s">
        <v>34</v>
      </c>
      <c r="B76" s="8">
        <v>1075</v>
      </c>
      <c r="C76">
        <v>1109</v>
      </c>
      <c r="D76" t="s">
        <v>21</v>
      </c>
      <c r="E76">
        <v>3</v>
      </c>
      <c r="F76">
        <v>8</v>
      </c>
      <c r="I76" t="s">
        <v>22</v>
      </c>
      <c r="J76" t="s">
        <v>16</v>
      </c>
    </row>
    <row r="77" spans="1:10">
      <c r="A77" s="6" t="s">
        <v>34</v>
      </c>
      <c r="B77" s="8">
        <v>1076</v>
      </c>
      <c r="C77">
        <v>1109</v>
      </c>
      <c r="D77" t="s">
        <v>21</v>
      </c>
      <c r="E77">
        <v>3</v>
      </c>
      <c r="F77">
        <v>8</v>
      </c>
      <c r="I77" t="s">
        <v>15</v>
      </c>
      <c r="J77" t="s">
        <v>19</v>
      </c>
    </row>
    <row r="78" spans="1:10">
      <c r="A78" s="6" t="s">
        <v>34</v>
      </c>
      <c r="B78" s="8">
        <v>1077</v>
      </c>
      <c r="C78">
        <v>9822</v>
      </c>
      <c r="D78" t="s">
        <v>11</v>
      </c>
      <c r="E78">
        <v>58.3</v>
      </c>
      <c r="F78">
        <v>98.4</v>
      </c>
      <c r="I78" t="s">
        <v>22</v>
      </c>
      <c r="J78" t="s">
        <v>19</v>
      </c>
    </row>
    <row r="79" spans="1:10">
      <c r="A79" s="6" t="s">
        <v>34</v>
      </c>
      <c r="B79" s="8">
        <v>1078</v>
      </c>
      <c r="C79">
        <v>2877</v>
      </c>
      <c r="D79" t="s">
        <v>14</v>
      </c>
      <c r="E79">
        <v>11.4</v>
      </c>
      <c r="F79">
        <v>16.3</v>
      </c>
      <c r="I79" t="s">
        <v>15</v>
      </c>
      <c r="J79" t="s">
        <v>28</v>
      </c>
    </row>
    <row r="80" spans="1:10">
      <c r="A80" s="6" t="s">
        <v>35</v>
      </c>
      <c r="B80" s="8">
        <v>1079</v>
      </c>
      <c r="C80">
        <v>2877</v>
      </c>
      <c r="D80" t="s">
        <v>14</v>
      </c>
      <c r="E80">
        <v>11.4</v>
      </c>
      <c r="F80">
        <v>16.3</v>
      </c>
      <c r="I80" t="s">
        <v>15</v>
      </c>
      <c r="J80" t="s">
        <v>13</v>
      </c>
    </row>
    <row r="81" spans="1:10">
      <c r="A81" s="6" t="s">
        <v>35</v>
      </c>
      <c r="B81" s="8">
        <v>1080</v>
      </c>
      <c r="C81">
        <v>4421</v>
      </c>
      <c r="D81" t="s">
        <v>24</v>
      </c>
      <c r="E81">
        <v>45</v>
      </c>
      <c r="F81">
        <v>87</v>
      </c>
      <c r="I81" t="s">
        <v>18</v>
      </c>
      <c r="J81" t="s">
        <v>16</v>
      </c>
    </row>
    <row r="82" spans="1:10">
      <c r="A82" s="6" t="s">
        <v>35</v>
      </c>
      <c r="B82" s="8">
        <v>1081</v>
      </c>
      <c r="C82">
        <v>6119</v>
      </c>
      <c r="D82" t="s">
        <v>30</v>
      </c>
      <c r="E82">
        <v>9</v>
      </c>
      <c r="F82">
        <v>14</v>
      </c>
      <c r="I82" t="s">
        <v>18</v>
      </c>
      <c r="J82" t="s">
        <v>29</v>
      </c>
    </row>
    <row r="83" spans="1:10">
      <c r="A83" s="6" t="s">
        <v>35</v>
      </c>
      <c r="B83" s="8">
        <v>1082</v>
      </c>
      <c r="C83">
        <v>1109</v>
      </c>
      <c r="D83" t="s">
        <v>21</v>
      </c>
      <c r="E83">
        <v>3</v>
      </c>
      <c r="F83">
        <v>8</v>
      </c>
      <c r="I83" t="s">
        <v>12</v>
      </c>
      <c r="J83" t="s">
        <v>16</v>
      </c>
    </row>
    <row r="84" spans="1:10">
      <c r="A84" s="6" t="s">
        <v>35</v>
      </c>
      <c r="B84" s="8">
        <v>1083</v>
      </c>
      <c r="C84">
        <v>1109</v>
      </c>
      <c r="D84" t="s">
        <v>21</v>
      </c>
      <c r="E84">
        <v>3</v>
      </c>
      <c r="F84">
        <v>8</v>
      </c>
      <c r="I84" t="s">
        <v>12</v>
      </c>
      <c r="J84" t="s">
        <v>28</v>
      </c>
    </row>
    <row r="85" spans="1:10">
      <c r="A85" s="6" t="s">
        <v>35</v>
      </c>
      <c r="B85" s="8">
        <v>1084</v>
      </c>
      <c r="C85">
        <v>6119</v>
      </c>
      <c r="D85" t="s">
        <v>30</v>
      </c>
      <c r="E85">
        <v>9</v>
      </c>
      <c r="F85">
        <v>14</v>
      </c>
      <c r="I85" t="s">
        <v>12</v>
      </c>
      <c r="J85" t="s">
        <v>19</v>
      </c>
    </row>
    <row r="86" spans="1:10">
      <c r="A86" s="6" t="s">
        <v>35</v>
      </c>
      <c r="B86" s="8">
        <v>1085</v>
      </c>
      <c r="C86">
        <v>9822</v>
      </c>
      <c r="D86" t="s">
        <v>11</v>
      </c>
      <c r="E86">
        <v>58.3</v>
      </c>
      <c r="F86">
        <v>98.4</v>
      </c>
      <c r="I86" t="s">
        <v>18</v>
      </c>
      <c r="J86" t="s">
        <v>28</v>
      </c>
    </row>
    <row r="87" spans="1:10">
      <c r="A87" s="6" t="s">
        <v>35</v>
      </c>
      <c r="B87" s="8">
        <v>1086</v>
      </c>
      <c r="C87">
        <v>1109</v>
      </c>
      <c r="D87" t="s">
        <v>21</v>
      </c>
      <c r="E87">
        <v>3</v>
      </c>
      <c r="F87">
        <v>8</v>
      </c>
      <c r="I87" t="s">
        <v>22</v>
      </c>
      <c r="J87" t="s">
        <v>19</v>
      </c>
    </row>
    <row r="88" spans="1:10">
      <c r="A88" s="6" t="s">
        <v>35</v>
      </c>
      <c r="B88" s="8">
        <v>1087</v>
      </c>
      <c r="C88">
        <v>2499</v>
      </c>
      <c r="D88" t="s">
        <v>17</v>
      </c>
      <c r="E88">
        <v>6.2</v>
      </c>
      <c r="F88">
        <v>9.1999999999999993</v>
      </c>
      <c r="I88" t="s">
        <v>12</v>
      </c>
      <c r="J88" t="s">
        <v>16</v>
      </c>
    </row>
    <row r="89" spans="1:10">
      <c r="A89" s="6" t="s">
        <v>35</v>
      </c>
      <c r="B89" s="8">
        <v>1088</v>
      </c>
      <c r="C89">
        <v>2499</v>
      </c>
      <c r="D89" t="s">
        <v>17</v>
      </c>
      <c r="E89">
        <v>6.2</v>
      </c>
      <c r="F89">
        <v>9.1999999999999993</v>
      </c>
      <c r="I89" t="s">
        <v>12</v>
      </c>
      <c r="J89" t="s">
        <v>13</v>
      </c>
    </row>
    <row r="90" spans="1:10">
      <c r="A90" s="6" t="s">
        <v>35</v>
      </c>
      <c r="B90" s="8">
        <v>1089</v>
      </c>
      <c r="C90">
        <v>6119</v>
      </c>
      <c r="D90" t="s">
        <v>30</v>
      </c>
      <c r="E90">
        <v>9</v>
      </c>
      <c r="F90">
        <v>14</v>
      </c>
      <c r="I90" t="s">
        <v>18</v>
      </c>
      <c r="J90" t="s">
        <v>28</v>
      </c>
    </row>
    <row r="91" spans="1:10">
      <c r="A91" s="6" t="s">
        <v>35</v>
      </c>
      <c r="B91" s="8">
        <v>1090</v>
      </c>
      <c r="C91">
        <v>2877</v>
      </c>
      <c r="D91" t="s">
        <v>14</v>
      </c>
      <c r="E91">
        <v>11.4</v>
      </c>
      <c r="F91">
        <v>16.3</v>
      </c>
      <c r="I91" t="s">
        <v>12</v>
      </c>
      <c r="J91" t="s">
        <v>16</v>
      </c>
    </row>
    <row r="92" spans="1:10">
      <c r="A92" s="6" t="s">
        <v>35</v>
      </c>
      <c r="B92" s="8">
        <v>1091</v>
      </c>
      <c r="C92">
        <v>2877</v>
      </c>
      <c r="D92" t="s">
        <v>14</v>
      </c>
      <c r="E92">
        <v>11.4</v>
      </c>
      <c r="F92">
        <v>16.3</v>
      </c>
      <c r="I92" t="s">
        <v>22</v>
      </c>
      <c r="J92" t="s">
        <v>28</v>
      </c>
    </row>
    <row r="93" spans="1:10">
      <c r="A93" s="6" t="s">
        <v>35</v>
      </c>
      <c r="B93" s="8">
        <v>1092</v>
      </c>
      <c r="C93">
        <v>2877</v>
      </c>
      <c r="D93" t="s">
        <v>14</v>
      </c>
      <c r="E93">
        <v>11.4</v>
      </c>
      <c r="F93">
        <v>16.3</v>
      </c>
      <c r="I93" t="s">
        <v>18</v>
      </c>
      <c r="J93" t="s">
        <v>16</v>
      </c>
    </row>
    <row r="94" spans="1:10">
      <c r="A94" s="6" t="s">
        <v>35</v>
      </c>
      <c r="B94" s="8">
        <v>1093</v>
      </c>
      <c r="C94">
        <v>6119</v>
      </c>
      <c r="D94" t="s">
        <v>30</v>
      </c>
      <c r="E94">
        <v>9</v>
      </c>
      <c r="F94">
        <v>14</v>
      </c>
      <c r="I94" t="s">
        <v>15</v>
      </c>
      <c r="J94" t="s">
        <v>19</v>
      </c>
    </row>
    <row r="95" spans="1:10">
      <c r="A95" s="6" t="s">
        <v>35</v>
      </c>
      <c r="B95" s="8">
        <v>1094</v>
      </c>
      <c r="C95">
        <v>6119</v>
      </c>
      <c r="D95" t="s">
        <v>30</v>
      </c>
      <c r="E95">
        <v>9</v>
      </c>
      <c r="F95">
        <v>14</v>
      </c>
      <c r="I95" t="s">
        <v>18</v>
      </c>
      <c r="J95" t="s">
        <v>16</v>
      </c>
    </row>
    <row r="96" spans="1:10">
      <c r="A96" s="6" t="s">
        <v>35</v>
      </c>
      <c r="B96" s="8">
        <v>1095</v>
      </c>
      <c r="C96">
        <v>2499</v>
      </c>
      <c r="D96" t="s">
        <v>17</v>
      </c>
      <c r="E96">
        <v>6.2</v>
      </c>
      <c r="F96">
        <v>9.1999999999999993</v>
      </c>
      <c r="I96" t="s">
        <v>22</v>
      </c>
      <c r="J96" t="s">
        <v>19</v>
      </c>
    </row>
    <row r="97" spans="1:10">
      <c r="A97" s="6" t="s">
        <v>35</v>
      </c>
      <c r="B97" s="8">
        <v>1096</v>
      </c>
      <c r="C97">
        <v>6119</v>
      </c>
      <c r="D97" t="s">
        <v>30</v>
      </c>
      <c r="E97">
        <v>9</v>
      </c>
      <c r="F97">
        <v>14</v>
      </c>
      <c r="I97" t="s">
        <v>18</v>
      </c>
      <c r="J97" t="s">
        <v>19</v>
      </c>
    </row>
    <row r="98" spans="1:10">
      <c r="A98" s="6" t="s">
        <v>35</v>
      </c>
      <c r="B98" s="8">
        <v>1097</v>
      </c>
      <c r="C98">
        <v>9212</v>
      </c>
      <c r="D98" t="s">
        <v>25</v>
      </c>
      <c r="E98">
        <v>4</v>
      </c>
      <c r="F98">
        <v>7</v>
      </c>
      <c r="I98" t="s">
        <v>22</v>
      </c>
      <c r="J98" t="s">
        <v>28</v>
      </c>
    </row>
    <row r="99" spans="1:10">
      <c r="A99" s="6" t="s">
        <v>35</v>
      </c>
      <c r="B99" s="8">
        <v>1098</v>
      </c>
      <c r="C99">
        <v>2877</v>
      </c>
      <c r="D99" t="s">
        <v>14</v>
      </c>
      <c r="E99">
        <v>11.4</v>
      </c>
      <c r="F99">
        <v>16.3</v>
      </c>
      <c r="I99" t="s">
        <v>15</v>
      </c>
      <c r="J99" t="s">
        <v>13</v>
      </c>
    </row>
    <row r="100" spans="1:10">
      <c r="A100" s="6" t="s">
        <v>36</v>
      </c>
      <c r="B100" s="8">
        <v>1099</v>
      </c>
      <c r="C100">
        <v>2877</v>
      </c>
      <c r="D100" t="s">
        <v>14</v>
      </c>
      <c r="E100">
        <v>11.4</v>
      </c>
      <c r="F100">
        <v>16.3</v>
      </c>
      <c r="I100" t="s">
        <v>18</v>
      </c>
      <c r="J100" t="s">
        <v>16</v>
      </c>
    </row>
    <row r="101" spans="1:10">
      <c r="A101" s="6" t="s">
        <v>36</v>
      </c>
      <c r="B101" s="8">
        <v>1100</v>
      </c>
      <c r="C101">
        <v>6119</v>
      </c>
      <c r="D101" t="s">
        <v>30</v>
      </c>
      <c r="E101">
        <v>9</v>
      </c>
      <c r="F101">
        <v>14</v>
      </c>
      <c r="I101" t="s">
        <v>12</v>
      </c>
      <c r="J101" t="s">
        <v>29</v>
      </c>
    </row>
    <row r="102" spans="1:10">
      <c r="A102" s="6" t="s">
        <v>36</v>
      </c>
      <c r="B102" s="8">
        <v>1101</v>
      </c>
      <c r="C102">
        <v>2499</v>
      </c>
      <c r="D102" t="s">
        <v>17</v>
      </c>
      <c r="E102">
        <v>6.2</v>
      </c>
      <c r="F102">
        <v>9.1999999999999993</v>
      </c>
      <c r="I102" t="s">
        <v>18</v>
      </c>
      <c r="J102" t="s">
        <v>16</v>
      </c>
    </row>
    <row r="103" spans="1:10">
      <c r="A103" s="6" t="s">
        <v>36</v>
      </c>
      <c r="B103" s="8">
        <v>1102</v>
      </c>
      <c r="C103">
        <v>2242</v>
      </c>
      <c r="D103" t="s">
        <v>27</v>
      </c>
      <c r="E103">
        <v>60</v>
      </c>
      <c r="F103">
        <v>124</v>
      </c>
      <c r="I103" t="s">
        <v>15</v>
      </c>
      <c r="J103" t="s">
        <v>28</v>
      </c>
    </row>
    <row r="104" spans="1:10">
      <c r="A104" s="6" t="s">
        <v>36</v>
      </c>
      <c r="B104" s="8">
        <v>1103</v>
      </c>
      <c r="C104">
        <v>2877</v>
      </c>
      <c r="D104" t="s">
        <v>14</v>
      </c>
      <c r="E104">
        <v>11.4</v>
      </c>
      <c r="F104">
        <v>16.3</v>
      </c>
      <c r="I104" t="s">
        <v>15</v>
      </c>
      <c r="J104" t="s">
        <v>19</v>
      </c>
    </row>
    <row r="105" spans="1:10">
      <c r="A105" s="6" t="s">
        <v>36</v>
      </c>
      <c r="B105" s="8">
        <v>1104</v>
      </c>
      <c r="C105">
        <v>2877</v>
      </c>
      <c r="D105" t="s">
        <v>14</v>
      </c>
      <c r="E105">
        <v>11.4</v>
      </c>
      <c r="F105">
        <v>16.3</v>
      </c>
      <c r="I105" t="s">
        <v>18</v>
      </c>
      <c r="J105" t="s">
        <v>28</v>
      </c>
    </row>
    <row r="106" spans="1:10">
      <c r="A106" s="6" t="s">
        <v>36</v>
      </c>
      <c r="B106" s="8">
        <v>1105</v>
      </c>
      <c r="C106">
        <v>2499</v>
      </c>
      <c r="D106" t="s">
        <v>17</v>
      </c>
      <c r="E106">
        <v>6.2</v>
      </c>
      <c r="F106">
        <v>9.1999999999999993</v>
      </c>
      <c r="I106" t="s">
        <v>15</v>
      </c>
      <c r="J106" t="s">
        <v>19</v>
      </c>
    </row>
    <row r="107" spans="1:10">
      <c r="A107" s="6" t="s">
        <v>36</v>
      </c>
      <c r="B107" s="8">
        <v>1106</v>
      </c>
      <c r="C107">
        <v>9822</v>
      </c>
      <c r="D107" t="s">
        <v>11</v>
      </c>
      <c r="E107">
        <v>58.3</v>
      </c>
      <c r="F107">
        <v>98.4</v>
      </c>
      <c r="I107" t="s">
        <v>15</v>
      </c>
      <c r="J107" t="s">
        <v>16</v>
      </c>
    </row>
    <row r="108" spans="1:10">
      <c r="A108" s="6" t="s">
        <v>36</v>
      </c>
      <c r="B108" s="8">
        <v>1107</v>
      </c>
      <c r="C108">
        <v>1109</v>
      </c>
      <c r="D108" t="s">
        <v>21</v>
      </c>
      <c r="E108">
        <v>3</v>
      </c>
      <c r="F108">
        <v>8</v>
      </c>
      <c r="I108" t="s">
        <v>22</v>
      </c>
      <c r="J108" t="s">
        <v>13</v>
      </c>
    </row>
    <row r="109" spans="1:10">
      <c r="A109" s="6" t="s">
        <v>36</v>
      </c>
      <c r="B109" s="8">
        <v>1108</v>
      </c>
      <c r="C109">
        <v>9822</v>
      </c>
      <c r="D109" t="s">
        <v>11</v>
      </c>
      <c r="E109">
        <v>58.3</v>
      </c>
      <c r="F109">
        <v>98.4</v>
      </c>
      <c r="I109" t="s">
        <v>18</v>
      </c>
      <c r="J109" t="s">
        <v>28</v>
      </c>
    </row>
    <row r="110" spans="1:10">
      <c r="A110" s="6" t="s">
        <v>36</v>
      </c>
      <c r="B110" s="8">
        <v>1109</v>
      </c>
      <c r="C110">
        <v>8722</v>
      </c>
      <c r="D110" t="s">
        <v>20</v>
      </c>
      <c r="E110">
        <v>344</v>
      </c>
      <c r="F110">
        <v>502</v>
      </c>
      <c r="I110" t="s">
        <v>15</v>
      </c>
      <c r="J110" t="s">
        <v>16</v>
      </c>
    </row>
    <row r="111" spans="1:10">
      <c r="A111" s="6" t="s">
        <v>36</v>
      </c>
      <c r="B111" s="8">
        <v>1110</v>
      </c>
      <c r="C111">
        <v>8722</v>
      </c>
      <c r="D111" t="s">
        <v>20</v>
      </c>
      <c r="E111">
        <v>344</v>
      </c>
      <c r="F111">
        <v>502</v>
      </c>
      <c r="I111" t="s">
        <v>22</v>
      </c>
      <c r="J111" t="s">
        <v>28</v>
      </c>
    </row>
    <row r="112" spans="1:10">
      <c r="A112" s="6" t="s">
        <v>36</v>
      </c>
      <c r="B112" s="8">
        <v>1111</v>
      </c>
      <c r="C112">
        <v>6622</v>
      </c>
      <c r="D112" t="s">
        <v>32</v>
      </c>
      <c r="E112">
        <v>42</v>
      </c>
      <c r="F112">
        <v>77</v>
      </c>
      <c r="I112" t="s">
        <v>22</v>
      </c>
      <c r="J112" t="s">
        <v>16</v>
      </c>
    </row>
    <row r="113" spans="1:10">
      <c r="A113" s="6" t="s">
        <v>36</v>
      </c>
      <c r="B113" s="8">
        <v>1112</v>
      </c>
      <c r="C113">
        <v>6622</v>
      </c>
      <c r="D113" t="s">
        <v>32</v>
      </c>
      <c r="E113">
        <v>42</v>
      </c>
      <c r="F113">
        <v>77</v>
      </c>
      <c r="I113" t="s">
        <v>18</v>
      </c>
      <c r="J113" t="s">
        <v>19</v>
      </c>
    </row>
    <row r="114" spans="1:10">
      <c r="A114" s="6" t="s">
        <v>36</v>
      </c>
      <c r="B114" s="8">
        <v>1113</v>
      </c>
      <c r="C114">
        <v>9822</v>
      </c>
      <c r="D114" t="s">
        <v>11</v>
      </c>
      <c r="E114">
        <v>58.3</v>
      </c>
      <c r="F114">
        <v>98.4</v>
      </c>
      <c r="I114" t="s">
        <v>12</v>
      </c>
      <c r="J114" t="s">
        <v>16</v>
      </c>
    </row>
    <row r="115" spans="1:10">
      <c r="A115" s="6" t="s">
        <v>36</v>
      </c>
      <c r="B115" s="8">
        <v>1114</v>
      </c>
      <c r="C115">
        <v>2242</v>
      </c>
      <c r="D115" t="s">
        <v>27</v>
      </c>
      <c r="E115">
        <v>60</v>
      </c>
      <c r="F115">
        <v>124</v>
      </c>
      <c r="I115" t="s">
        <v>15</v>
      </c>
      <c r="J115" t="s">
        <v>19</v>
      </c>
    </row>
    <row r="116" spans="1:10">
      <c r="A116" s="6" t="s">
        <v>36</v>
      </c>
      <c r="B116" s="8">
        <v>1115</v>
      </c>
      <c r="C116">
        <v>8722</v>
      </c>
      <c r="D116" t="s">
        <v>20</v>
      </c>
      <c r="E116">
        <v>344</v>
      </c>
      <c r="F116">
        <v>502</v>
      </c>
      <c r="I116" t="s">
        <v>12</v>
      </c>
      <c r="J116" t="s">
        <v>19</v>
      </c>
    </row>
    <row r="117" spans="1:10">
      <c r="A117" s="6" t="s">
        <v>36</v>
      </c>
      <c r="B117" s="8">
        <v>1116</v>
      </c>
      <c r="C117">
        <v>6622</v>
      </c>
      <c r="D117" t="s">
        <v>32</v>
      </c>
      <c r="E117">
        <v>42</v>
      </c>
      <c r="F117">
        <v>77</v>
      </c>
      <c r="I117" t="s">
        <v>18</v>
      </c>
      <c r="J117" t="s">
        <v>28</v>
      </c>
    </row>
    <row r="118" spans="1:10">
      <c r="A118" s="6" t="s">
        <v>36</v>
      </c>
      <c r="B118" s="8">
        <v>1117</v>
      </c>
      <c r="C118">
        <v>8722</v>
      </c>
      <c r="D118" t="s">
        <v>20</v>
      </c>
      <c r="E118">
        <v>344</v>
      </c>
      <c r="F118">
        <v>502</v>
      </c>
      <c r="I118" t="s">
        <v>22</v>
      </c>
      <c r="J118" t="s">
        <v>13</v>
      </c>
    </row>
    <row r="119" spans="1:10">
      <c r="A119" s="6" t="s">
        <v>36</v>
      </c>
      <c r="B119" s="8">
        <v>1118</v>
      </c>
      <c r="C119">
        <v>9822</v>
      </c>
      <c r="D119" t="s">
        <v>11</v>
      </c>
      <c r="E119">
        <v>58.3</v>
      </c>
      <c r="F119">
        <v>98.4</v>
      </c>
      <c r="I119" t="s">
        <v>15</v>
      </c>
      <c r="J119" t="s">
        <v>16</v>
      </c>
    </row>
    <row r="120" spans="1:10">
      <c r="A120" s="6" t="s">
        <v>36</v>
      </c>
      <c r="B120" s="8">
        <v>1119</v>
      </c>
      <c r="C120">
        <v>2242</v>
      </c>
      <c r="D120" t="s">
        <v>27</v>
      </c>
      <c r="E120">
        <v>60</v>
      </c>
      <c r="F120">
        <v>124</v>
      </c>
      <c r="I120" t="s">
        <v>12</v>
      </c>
      <c r="J120" t="s">
        <v>29</v>
      </c>
    </row>
    <row r="121" spans="1:10">
      <c r="A121" s="6" t="s">
        <v>36</v>
      </c>
      <c r="B121" s="8">
        <v>1120</v>
      </c>
      <c r="C121">
        <v>2242</v>
      </c>
      <c r="D121" t="s">
        <v>27</v>
      </c>
      <c r="E121">
        <v>60</v>
      </c>
      <c r="F121">
        <v>124</v>
      </c>
      <c r="I121" t="s">
        <v>18</v>
      </c>
      <c r="J121" t="s">
        <v>16</v>
      </c>
    </row>
    <row r="122" spans="1:10">
      <c r="A122" s="6" t="s">
        <v>36</v>
      </c>
      <c r="B122" s="8">
        <v>1121</v>
      </c>
      <c r="C122">
        <v>4421</v>
      </c>
      <c r="D122" t="s">
        <v>24</v>
      </c>
      <c r="E122">
        <v>45</v>
      </c>
      <c r="F122">
        <v>87</v>
      </c>
      <c r="I122" t="s">
        <v>18</v>
      </c>
      <c r="J122" t="s">
        <v>28</v>
      </c>
    </row>
    <row r="123" spans="1:10">
      <c r="A123" s="6" t="s">
        <v>36</v>
      </c>
      <c r="B123" s="8">
        <v>1122</v>
      </c>
      <c r="C123">
        <v>8722</v>
      </c>
      <c r="D123" t="s">
        <v>20</v>
      </c>
      <c r="E123">
        <v>344</v>
      </c>
      <c r="F123">
        <v>502</v>
      </c>
      <c r="I123" t="s">
        <v>18</v>
      </c>
      <c r="J123" t="s">
        <v>19</v>
      </c>
    </row>
    <row r="124" spans="1:10">
      <c r="A124" s="6" t="s">
        <v>36</v>
      </c>
      <c r="B124" s="8">
        <v>1123</v>
      </c>
      <c r="C124">
        <v>9822</v>
      </c>
      <c r="D124" t="s">
        <v>11</v>
      </c>
      <c r="E124">
        <v>58.3</v>
      </c>
      <c r="F124">
        <v>98.4</v>
      </c>
      <c r="I124" t="s">
        <v>18</v>
      </c>
      <c r="J124" t="s">
        <v>28</v>
      </c>
    </row>
    <row r="125" spans="1:10">
      <c r="A125" s="6" t="s">
        <v>36</v>
      </c>
      <c r="B125" s="8">
        <v>1124</v>
      </c>
      <c r="C125">
        <v>4421</v>
      </c>
      <c r="D125" t="s">
        <v>24</v>
      </c>
      <c r="E125">
        <v>45</v>
      </c>
      <c r="F125">
        <v>87</v>
      </c>
      <c r="I125" t="s">
        <v>18</v>
      </c>
      <c r="J125" t="s">
        <v>19</v>
      </c>
    </row>
    <row r="126" spans="1:10">
      <c r="A126" s="6" t="s">
        <v>37</v>
      </c>
      <c r="B126" s="8">
        <v>1125</v>
      </c>
      <c r="C126">
        <v>2242</v>
      </c>
      <c r="D126" t="s">
        <v>27</v>
      </c>
      <c r="E126">
        <v>60</v>
      </c>
      <c r="F126">
        <v>124</v>
      </c>
      <c r="I126" t="s">
        <v>18</v>
      </c>
      <c r="J126" t="s">
        <v>16</v>
      </c>
    </row>
    <row r="127" spans="1:10">
      <c r="A127" s="6" t="s">
        <v>37</v>
      </c>
      <c r="B127" s="8">
        <v>1126</v>
      </c>
      <c r="C127">
        <v>9212</v>
      </c>
      <c r="D127" t="s">
        <v>25</v>
      </c>
      <c r="E127">
        <v>4</v>
      </c>
      <c r="F127">
        <v>7</v>
      </c>
      <c r="I127" t="s">
        <v>18</v>
      </c>
      <c r="J127" t="s">
        <v>13</v>
      </c>
    </row>
    <row r="128" spans="1:10">
      <c r="A128" s="6" t="s">
        <v>37</v>
      </c>
      <c r="B128" s="8">
        <v>1127</v>
      </c>
      <c r="C128">
        <v>8722</v>
      </c>
      <c r="D128" t="s">
        <v>20</v>
      </c>
      <c r="E128">
        <v>344</v>
      </c>
      <c r="F128">
        <v>502</v>
      </c>
      <c r="I128" t="s">
        <v>12</v>
      </c>
      <c r="J128" t="s">
        <v>28</v>
      </c>
    </row>
    <row r="129" spans="1:10">
      <c r="A129" s="6" t="s">
        <v>37</v>
      </c>
      <c r="B129" s="8">
        <v>1128</v>
      </c>
      <c r="C129">
        <v>6622</v>
      </c>
      <c r="D129" t="s">
        <v>32</v>
      </c>
      <c r="E129">
        <v>42</v>
      </c>
      <c r="F129">
        <v>77</v>
      </c>
      <c r="I129" t="s">
        <v>15</v>
      </c>
      <c r="J129" t="s">
        <v>16</v>
      </c>
    </row>
    <row r="130" spans="1:10">
      <c r="A130" s="6" t="s">
        <v>37</v>
      </c>
      <c r="B130" s="8">
        <v>1129</v>
      </c>
      <c r="C130">
        <v>9822</v>
      </c>
      <c r="D130" t="s">
        <v>11</v>
      </c>
      <c r="E130">
        <v>58.3</v>
      </c>
      <c r="F130">
        <v>98.4</v>
      </c>
      <c r="I130" t="s">
        <v>22</v>
      </c>
      <c r="J130" t="s">
        <v>28</v>
      </c>
    </row>
    <row r="131" spans="1:10">
      <c r="A131" s="6" t="s">
        <v>37</v>
      </c>
      <c r="B131" s="8">
        <v>1130</v>
      </c>
      <c r="C131">
        <v>4421</v>
      </c>
      <c r="D131" t="s">
        <v>24</v>
      </c>
      <c r="E131">
        <v>45</v>
      </c>
      <c r="F131">
        <v>87</v>
      </c>
      <c r="I131" t="s">
        <v>22</v>
      </c>
      <c r="J131" t="s">
        <v>16</v>
      </c>
    </row>
    <row r="132" spans="1:10">
      <c r="A132" s="6" t="s">
        <v>37</v>
      </c>
      <c r="B132" s="8">
        <v>1131</v>
      </c>
      <c r="C132">
        <v>9212</v>
      </c>
      <c r="D132" t="s">
        <v>25</v>
      </c>
      <c r="E132">
        <v>4</v>
      </c>
      <c r="F132">
        <v>7</v>
      </c>
      <c r="I132" t="s">
        <v>22</v>
      </c>
      <c r="J132" t="s">
        <v>19</v>
      </c>
    </row>
    <row r="133" spans="1:10">
      <c r="A133" s="6" t="s">
        <v>37</v>
      </c>
      <c r="B133" s="8">
        <v>1132</v>
      </c>
      <c r="C133">
        <v>9212</v>
      </c>
      <c r="D133" t="s">
        <v>25</v>
      </c>
      <c r="E133">
        <v>4</v>
      </c>
      <c r="F133">
        <v>7</v>
      </c>
      <c r="I133" t="s">
        <v>22</v>
      </c>
      <c r="J133" t="s">
        <v>16</v>
      </c>
    </row>
    <row r="134" spans="1:10">
      <c r="A134" s="6" t="s">
        <v>37</v>
      </c>
      <c r="B134" s="8">
        <v>1133</v>
      </c>
      <c r="C134">
        <v>9822</v>
      </c>
      <c r="D134" t="s">
        <v>11</v>
      </c>
      <c r="E134">
        <v>58.3</v>
      </c>
      <c r="F134">
        <v>98.4</v>
      </c>
      <c r="I134" t="s">
        <v>12</v>
      </c>
      <c r="J134" t="s">
        <v>19</v>
      </c>
    </row>
    <row r="135" spans="1:10">
      <c r="A135" s="6" t="s">
        <v>37</v>
      </c>
      <c r="B135" s="8">
        <v>1134</v>
      </c>
      <c r="C135">
        <v>9822</v>
      </c>
      <c r="D135" t="s">
        <v>11</v>
      </c>
      <c r="E135">
        <v>58.3</v>
      </c>
      <c r="F135">
        <v>98.4</v>
      </c>
      <c r="I135" t="s">
        <v>18</v>
      </c>
      <c r="J135" t="s">
        <v>19</v>
      </c>
    </row>
    <row r="136" spans="1:10">
      <c r="A136" s="6" t="s">
        <v>37</v>
      </c>
      <c r="B136" s="8">
        <v>1135</v>
      </c>
      <c r="C136">
        <v>8722</v>
      </c>
      <c r="D136" t="s">
        <v>20</v>
      </c>
      <c r="E136">
        <v>344</v>
      </c>
      <c r="F136">
        <v>502</v>
      </c>
      <c r="I136" t="s">
        <v>12</v>
      </c>
      <c r="J136" t="s">
        <v>28</v>
      </c>
    </row>
    <row r="137" spans="1:10">
      <c r="A137" s="6" t="s">
        <v>37</v>
      </c>
      <c r="B137" s="8">
        <v>1136</v>
      </c>
      <c r="C137">
        <v>2242</v>
      </c>
      <c r="D137" t="s">
        <v>27</v>
      </c>
      <c r="E137">
        <v>60</v>
      </c>
      <c r="F137">
        <v>124</v>
      </c>
      <c r="I137" t="s">
        <v>18</v>
      </c>
      <c r="J137" t="s">
        <v>13</v>
      </c>
    </row>
    <row r="138" spans="1:10">
      <c r="A138" s="6" t="s">
        <v>37</v>
      </c>
      <c r="B138" s="8">
        <v>1137</v>
      </c>
      <c r="C138">
        <v>9822</v>
      </c>
      <c r="D138" t="s">
        <v>11</v>
      </c>
      <c r="E138">
        <v>58.3</v>
      </c>
      <c r="F138">
        <v>98.4</v>
      </c>
      <c r="I138" t="s">
        <v>15</v>
      </c>
      <c r="J138" t="s">
        <v>16</v>
      </c>
    </row>
    <row r="139" spans="1:10">
      <c r="A139" s="6" t="s">
        <v>37</v>
      </c>
      <c r="B139" s="8">
        <v>1138</v>
      </c>
      <c r="C139">
        <v>8722</v>
      </c>
      <c r="D139" t="s">
        <v>20</v>
      </c>
      <c r="E139">
        <v>344</v>
      </c>
      <c r="F139">
        <v>502</v>
      </c>
      <c r="I139" t="s">
        <v>12</v>
      </c>
      <c r="J139" t="s">
        <v>29</v>
      </c>
    </row>
    <row r="140" spans="1:10">
      <c r="A140" s="6" t="s">
        <v>37</v>
      </c>
      <c r="B140" s="8">
        <v>1139</v>
      </c>
      <c r="C140">
        <v>4421</v>
      </c>
      <c r="D140" t="s">
        <v>24</v>
      </c>
      <c r="E140">
        <v>45</v>
      </c>
      <c r="F140">
        <v>87</v>
      </c>
      <c r="I140" t="s">
        <v>18</v>
      </c>
      <c r="J140" t="s">
        <v>16</v>
      </c>
    </row>
    <row r="141" spans="1:10">
      <c r="A141" s="6" t="s">
        <v>37</v>
      </c>
      <c r="B141" s="8">
        <v>1140</v>
      </c>
      <c r="C141">
        <v>4421</v>
      </c>
      <c r="D141" t="s">
        <v>24</v>
      </c>
      <c r="E141">
        <v>45</v>
      </c>
      <c r="F141">
        <v>87</v>
      </c>
      <c r="I141" t="s">
        <v>15</v>
      </c>
      <c r="J141" t="s">
        <v>28</v>
      </c>
    </row>
    <row r="142" spans="1:10">
      <c r="A142" s="6" t="s">
        <v>37</v>
      </c>
      <c r="B142" s="8">
        <v>1141</v>
      </c>
      <c r="C142">
        <v>9212</v>
      </c>
      <c r="D142" t="s">
        <v>25</v>
      </c>
      <c r="E142">
        <v>4</v>
      </c>
      <c r="F142">
        <v>7</v>
      </c>
      <c r="I142" t="s">
        <v>15</v>
      </c>
      <c r="J142" t="s">
        <v>19</v>
      </c>
    </row>
    <row r="143" spans="1:10">
      <c r="A143" s="6" t="s">
        <v>38</v>
      </c>
      <c r="B143" s="8">
        <v>1142</v>
      </c>
      <c r="C143">
        <v>2242</v>
      </c>
      <c r="D143" t="s">
        <v>27</v>
      </c>
      <c r="E143">
        <v>60</v>
      </c>
      <c r="F143">
        <v>124</v>
      </c>
      <c r="I143" t="s">
        <v>15</v>
      </c>
      <c r="J143" t="s">
        <v>28</v>
      </c>
    </row>
    <row r="144" spans="1:10">
      <c r="A144" s="6" t="s">
        <v>38</v>
      </c>
      <c r="B144" s="8">
        <v>1143</v>
      </c>
      <c r="C144">
        <v>9822</v>
      </c>
      <c r="D144" t="s">
        <v>11</v>
      </c>
      <c r="E144">
        <v>58.3</v>
      </c>
      <c r="F144">
        <v>98.4</v>
      </c>
      <c r="I144" t="s">
        <v>22</v>
      </c>
      <c r="J144" t="s">
        <v>19</v>
      </c>
    </row>
    <row r="145" spans="1:10">
      <c r="A145" s="6" t="s">
        <v>38</v>
      </c>
      <c r="B145" s="8">
        <v>1144</v>
      </c>
      <c r="C145">
        <v>2242</v>
      </c>
      <c r="D145" t="s">
        <v>27</v>
      </c>
      <c r="E145">
        <v>60</v>
      </c>
      <c r="F145">
        <v>124</v>
      </c>
      <c r="I145" t="s">
        <v>22</v>
      </c>
      <c r="J145" t="s">
        <v>16</v>
      </c>
    </row>
    <row r="146" spans="1:10">
      <c r="A146" s="6" t="s">
        <v>38</v>
      </c>
      <c r="B146" s="8">
        <v>1145</v>
      </c>
      <c r="C146">
        <v>4421</v>
      </c>
      <c r="D146" t="s">
        <v>24</v>
      </c>
      <c r="E146">
        <v>45</v>
      </c>
      <c r="F146">
        <v>87</v>
      </c>
      <c r="I146" t="s">
        <v>22</v>
      </c>
      <c r="J146" t="s">
        <v>13</v>
      </c>
    </row>
    <row r="147" spans="1:10">
      <c r="A147" s="6" t="s">
        <v>38</v>
      </c>
      <c r="B147" s="8">
        <v>1146</v>
      </c>
      <c r="C147">
        <v>8722</v>
      </c>
      <c r="D147" t="s">
        <v>20</v>
      </c>
      <c r="E147">
        <v>344</v>
      </c>
      <c r="F147">
        <v>502</v>
      </c>
      <c r="I147" t="s">
        <v>22</v>
      </c>
      <c r="J147" t="s">
        <v>28</v>
      </c>
    </row>
    <row r="148" spans="1:10">
      <c r="A148" s="6" t="s">
        <v>38</v>
      </c>
      <c r="B148" s="8">
        <v>1147</v>
      </c>
      <c r="C148">
        <v>9822</v>
      </c>
      <c r="D148" t="s">
        <v>11</v>
      </c>
      <c r="E148">
        <v>58.3</v>
      </c>
      <c r="F148">
        <v>98.4</v>
      </c>
      <c r="I148" t="s">
        <v>12</v>
      </c>
      <c r="J148" t="s">
        <v>16</v>
      </c>
    </row>
    <row r="149" spans="1:10">
      <c r="A149" s="6" t="s">
        <v>38</v>
      </c>
      <c r="B149" s="8">
        <v>1148</v>
      </c>
      <c r="C149">
        <v>9212</v>
      </c>
      <c r="D149" t="s">
        <v>25</v>
      </c>
      <c r="E149">
        <v>4</v>
      </c>
      <c r="F149">
        <v>7</v>
      </c>
      <c r="I149" t="s">
        <v>18</v>
      </c>
      <c r="J149" t="s">
        <v>19</v>
      </c>
    </row>
    <row r="150" spans="1:10">
      <c r="A150" s="6" t="s">
        <v>38</v>
      </c>
      <c r="B150" s="8">
        <v>1149</v>
      </c>
      <c r="C150">
        <v>8722</v>
      </c>
      <c r="D150" t="s">
        <v>20</v>
      </c>
      <c r="E150">
        <v>344</v>
      </c>
      <c r="F150">
        <v>502</v>
      </c>
      <c r="I150" t="s">
        <v>12</v>
      </c>
      <c r="J150" t="s">
        <v>19</v>
      </c>
    </row>
    <row r="151" spans="1:10">
      <c r="A151" s="6" t="s">
        <v>39</v>
      </c>
      <c r="B151" s="8">
        <v>1150</v>
      </c>
      <c r="C151">
        <v>2242</v>
      </c>
      <c r="D151" t="s">
        <v>27</v>
      </c>
      <c r="E151">
        <v>60</v>
      </c>
      <c r="F151">
        <v>124</v>
      </c>
      <c r="I151" t="s">
        <v>18</v>
      </c>
      <c r="J151" t="s">
        <v>29</v>
      </c>
    </row>
    <row r="152" spans="1:10">
      <c r="A152" s="6" t="s">
        <v>39</v>
      </c>
      <c r="B152" s="8">
        <v>1151</v>
      </c>
      <c r="C152">
        <v>2242</v>
      </c>
      <c r="D152" t="s">
        <v>27</v>
      </c>
      <c r="E152">
        <v>60</v>
      </c>
      <c r="F152">
        <v>124</v>
      </c>
      <c r="I152" t="s">
        <v>15</v>
      </c>
      <c r="J152" t="s">
        <v>16</v>
      </c>
    </row>
    <row r="153" spans="1:10">
      <c r="A153" s="6" t="s">
        <v>39</v>
      </c>
      <c r="B153" s="8">
        <v>1152</v>
      </c>
      <c r="C153">
        <v>4421</v>
      </c>
      <c r="D153" t="s">
        <v>24</v>
      </c>
      <c r="E153">
        <v>45</v>
      </c>
      <c r="F153">
        <v>87</v>
      </c>
      <c r="I153" t="s">
        <v>12</v>
      </c>
      <c r="J153" t="s">
        <v>28</v>
      </c>
    </row>
    <row r="154" spans="1:10">
      <c r="A154" s="6" t="s">
        <v>39</v>
      </c>
      <c r="B154" s="8">
        <v>1153</v>
      </c>
      <c r="C154">
        <v>8722</v>
      </c>
      <c r="D154" t="s">
        <v>20</v>
      </c>
      <c r="E154">
        <v>344</v>
      </c>
      <c r="F154">
        <v>502</v>
      </c>
      <c r="I154" t="s">
        <v>18</v>
      </c>
      <c r="J154" t="s">
        <v>19</v>
      </c>
    </row>
    <row r="155" spans="1:10">
      <c r="A155" s="6" t="s">
        <v>39</v>
      </c>
      <c r="B155" s="8">
        <v>1154</v>
      </c>
      <c r="C155">
        <v>9822</v>
      </c>
      <c r="D155" t="s">
        <v>11</v>
      </c>
      <c r="E155">
        <v>58.3</v>
      </c>
      <c r="F155">
        <v>98.4</v>
      </c>
      <c r="I155" t="s">
        <v>15</v>
      </c>
      <c r="J155" t="s">
        <v>28</v>
      </c>
    </row>
    <row r="156" spans="1:10">
      <c r="A156" s="6" t="s">
        <v>39</v>
      </c>
      <c r="B156" s="8">
        <v>1155</v>
      </c>
      <c r="C156">
        <v>4421</v>
      </c>
      <c r="D156" t="s">
        <v>24</v>
      </c>
      <c r="E156">
        <v>45</v>
      </c>
      <c r="F156">
        <v>87</v>
      </c>
      <c r="I156" t="s">
        <v>18</v>
      </c>
      <c r="J156" t="s">
        <v>19</v>
      </c>
    </row>
    <row r="157" spans="1:10">
      <c r="A157" s="6" t="s">
        <v>39</v>
      </c>
      <c r="B157" s="8">
        <v>1156</v>
      </c>
      <c r="C157">
        <v>2242</v>
      </c>
      <c r="D157" t="s">
        <v>27</v>
      </c>
      <c r="E157">
        <v>60</v>
      </c>
      <c r="F157">
        <v>124</v>
      </c>
      <c r="I157" t="s">
        <v>18</v>
      </c>
      <c r="J157" t="s">
        <v>16</v>
      </c>
    </row>
    <row r="158" spans="1:10">
      <c r="A158" s="6" t="s">
        <v>39</v>
      </c>
      <c r="B158" s="8">
        <v>1157</v>
      </c>
      <c r="C158">
        <v>9212</v>
      </c>
      <c r="D158" t="s">
        <v>25</v>
      </c>
      <c r="E158">
        <v>4</v>
      </c>
      <c r="F158">
        <v>7</v>
      </c>
      <c r="I158" t="s">
        <v>18</v>
      </c>
      <c r="J158" t="s">
        <v>13</v>
      </c>
    </row>
    <row r="159" spans="1:10">
      <c r="A159" s="6" t="s">
        <v>40</v>
      </c>
      <c r="B159" s="8">
        <v>1158</v>
      </c>
      <c r="C159">
        <v>8722</v>
      </c>
      <c r="D159" t="s">
        <v>20</v>
      </c>
      <c r="E159">
        <v>344</v>
      </c>
      <c r="F159">
        <v>502</v>
      </c>
      <c r="I159" t="s">
        <v>12</v>
      </c>
      <c r="J159" t="s">
        <v>28</v>
      </c>
    </row>
    <row r="160" spans="1:10">
      <c r="A160" s="6" t="s">
        <v>40</v>
      </c>
      <c r="B160" s="8">
        <v>1159</v>
      </c>
      <c r="C160">
        <v>6622</v>
      </c>
      <c r="D160" t="s">
        <v>32</v>
      </c>
      <c r="E160">
        <v>42</v>
      </c>
      <c r="F160">
        <v>77</v>
      </c>
      <c r="I160" t="s">
        <v>18</v>
      </c>
      <c r="J160" t="s">
        <v>16</v>
      </c>
    </row>
    <row r="161" spans="1:10">
      <c r="A161" s="6" t="s">
        <v>40</v>
      </c>
      <c r="B161" s="8">
        <v>1160</v>
      </c>
      <c r="C161">
        <v>9822</v>
      </c>
      <c r="D161" t="s">
        <v>11</v>
      </c>
      <c r="E161">
        <v>58.3</v>
      </c>
      <c r="F161">
        <v>98.4</v>
      </c>
      <c r="I161" t="s">
        <v>22</v>
      </c>
      <c r="J161" t="s">
        <v>28</v>
      </c>
    </row>
    <row r="162" spans="1:10">
      <c r="A162" s="6" t="s">
        <v>40</v>
      </c>
      <c r="B162" s="8">
        <v>1161</v>
      </c>
      <c r="C162">
        <v>4421</v>
      </c>
      <c r="D162" t="s">
        <v>24</v>
      </c>
      <c r="E162">
        <v>45</v>
      </c>
      <c r="F162">
        <v>87</v>
      </c>
      <c r="I162" t="s">
        <v>15</v>
      </c>
      <c r="J162" t="s">
        <v>16</v>
      </c>
    </row>
    <row r="163" spans="1:10">
      <c r="A163" s="6" t="s">
        <v>40</v>
      </c>
      <c r="B163" s="8">
        <v>1162</v>
      </c>
      <c r="C163">
        <v>9212</v>
      </c>
      <c r="D163" t="s">
        <v>25</v>
      </c>
      <c r="E163">
        <v>4</v>
      </c>
      <c r="F163">
        <v>7</v>
      </c>
      <c r="I163" t="s">
        <v>12</v>
      </c>
      <c r="J163" t="s">
        <v>19</v>
      </c>
    </row>
    <row r="164" spans="1:10">
      <c r="A164" s="6" t="s">
        <v>40</v>
      </c>
      <c r="B164" s="8">
        <v>1163</v>
      </c>
      <c r="C164">
        <v>9212</v>
      </c>
      <c r="D164" t="s">
        <v>25</v>
      </c>
      <c r="E164">
        <v>4</v>
      </c>
      <c r="F164">
        <v>7</v>
      </c>
      <c r="I164" t="s">
        <v>18</v>
      </c>
      <c r="J164" t="s">
        <v>16</v>
      </c>
    </row>
    <row r="165" spans="1:10">
      <c r="A165" s="6" t="s">
        <v>40</v>
      </c>
      <c r="B165" s="8">
        <v>1164</v>
      </c>
      <c r="C165">
        <v>9822</v>
      </c>
      <c r="D165" t="s">
        <v>11</v>
      </c>
      <c r="E165">
        <v>58.3</v>
      </c>
      <c r="F165">
        <v>98.4</v>
      </c>
      <c r="I165" t="s">
        <v>18</v>
      </c>
      <c r="J165" t="s">
        <v>19</v>
      </c>
    </row>
    <row r="166" spans="1:10">
      <c r="A166" s="6" t="s">
        <v>40</v>
      </c>
      <c r="B166" s="8">
        <v>1165</v>
      </c>
      <c r="C166">
        <v>9822</v>
      </c>
      <c r="D166" t="s">
        <v>11</v>
      </c>
      <c r="E166">
        <v>58.3</v>
      </c>
      <c r="F166">
        <v>98.4</v>
      </c>
      <c r="I166" t="s">
        <v>18</v>
      </c>
      <c r="J166" t="s">
        <v>19</v>
      </c>
    </row>
    <row r="167" spans="1:10">
      <c r="A167" s="6" t="s">
        <v>40</v>
      </c>
      <c r="B167" s="8">
        <v>1166</v>
      </c>
      <c r="C167">
        <v>8722</v>
      </c>
      <c r="D167" t="s">
        <v>20</v>
      </c>
      <c r="E167">
        <v>344</v>
      </c>
      <c r="F167">
        <v>502</v>
      </c>
      <c r="I167" t="s">
        <v>18</v>
      </c>
      <c r="J167" t="s">
        <v>28</v>
      </c>
    </row>
    <row r="168" spans="1:10">
      <c r="A168" s="6" t="s">
        <v>41</v>
      </c>
      <c r="B168" s="8">
        <v>1167</v>
      </c>
      <c r="C168">
        <v>2242</v>
      </c>
      <c r="D168" t="s">
        <v>27</v>
      </c>
      <c r="E168">
        <v>60</v>
      </c>
      <c r="F168">
        <v>124</v>
      </c>
      <c r="I168" t="s">
        <v>18</v>
      </c>
      <c r="J168" t="s">
        <v>13</v>
      </c>
    </row>
    <row r="169" spans="1:10">
      <c r="A169" s="6" t="s">
        <v>41</v>
      </c>
      <c r="B169" s="8">
        <v>1168</v>
      </c>
      <c r="C169">
        <v>9822</v>
      </c>
      <c r="D169" t="s">
        <v>11</v>
      </c>
      <c r="E169">
        <v>58.3</v>
      </c>
      <c r="F169">
        <v>98.4</v>
      </c>
      <c r="I169" t="s">
        <v>18</v>
      </c>
      <c r="J169" t="s">
        <v>16</v>
      </c>
    </row>
    <row r="170" spans="1:10">
      <c r="A170" s="6" t="s">
        <v>41</v>
      </c>
      <c r="B170" s="8">
        <v>1169</v>
      </c>
      <c r="C170">
        <v>8722</v>
      </c>
      <c r="D170" t="s">
        <v>20</v>
      </c>
      <c r="E170">
        <v>344</v>
      </c>
      <c r="F170">
        <v>502</v>
      </c>
      <c r="I170" t="s">
        <v>18</v>
      </c>
      <c r="J170" t="s">
        <v>29</v>
      </c>
    </row>
    <row r="171" spans="1:10">
      <c r="A171" s="6" t="s">
        <v>41</v>
      </c>
      <c r="B171" s="8">
        <v>1170</v>
      </c>
      <c r="C171">
        <v>4421</v>
      </c>
      <c r="D171" t="s">
        <v>24</v>
      </c>
      <c r="E171">
        <v>45</v>
      </c>
      <c r="F171">
        <v>87</v>
      </c>
      <c r="I171" t="s">
        <v>12</v>
      </c>
      <c r="J171" t="s">
        <v>16</v>
      </c>
    </row>
    <row r="172" spans="1:10">
      <c r="A172" s="6" t="s">
        <v>41</v>
      </c>
      <c r="B172" s="8">
        <v>1171</v>
      </c>
      <c r="C172">
        <v>4421</v>
      </c>
      <c r="D172" t="s">
        <v>24</v>
      </c>
      <c r="E172">
        <v>45</v>
      </c>
      <c r="F172">
        <v>87</v>
      </c>
      <c r="I172" t="s">
        <v>15</v>
      </c>
      <c r="J172" t="s">
        <v>28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2"/>
  <sheetViews>
    <sheetView workbookViewId="0">
      <selection activeCell="M4" sqref="M4"/>
    </sheetView>
  </sheetViews>
  <sheetFormatPr defaultColWidth="9" defaultRowHeight="15.75"/>
  <cols>
    <col min="1" max="1" width="9" customWidth="1"/>
    <col min="2" max="2" width="17.5" customWidth="1"/>
    <col min="3" max="3" width="11.625" customWidth="1"/>
    <col min="4" max="4" width="16.875" customWidth="1"/>
    <col min="5" max="5" width="14" style="3" customWidth="1"/>
    <col min="6" max="6" width="12.5" style="3" customWidth="1"/>
    <col min="7" max="8" width="12.125" customWidth="1"/>
    <col min="9" max="9" width="16.875" customWidth="1"/>
    <col min="10" max="10" width="13.75" customWidth="1"/>
    <col min="11" max="11" width="11.62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42</v>
      </c>
      <c r="I1" s="4" t="s">
        <v>7</v>
      </c>
      <c r="J1" s="4" t="s">
        <v>8</v>
      </c>
      <c r="K1" s="4" t="s">
        <v>9</v>
      </c>
    </row>
    <row r="2" spans="1:13">
      <c r="A2" s="6" t="s">
        <v>10</v>
      </c>
      <c r="B2" s="7">
        <v>1001</v>
      </c>
      <c r="C2">
        <v>9822</v>
      </c>
      <c r="D2" t="s">
        <v>11</v>
      </c>
      <c r="E2" s="3">
        <v>58.3</v>
      </c>
      <c r="F2" s="3">
        <v>98.4</v>
      </c>
      <c r="G2" s="1">
        <f>F2-E2</f>
        <v>40.1</v>
      </c>
      <c r="H2" s="1" t="s">
        <v>43</v>
      </c>
      <c r="I2" t="str">
        <f t="shared" ref="I2:I33" si="0">IF(G2&gt;=100,"Yes","-")</f>
        <v>-</v>
      </c>
      <c r="J2" t="s">
        <v>12</v>
      </c>
      <c r="K2" t="s">
        <v>13</v>
      </c>
    </row>
    <row r="3" spans="1:13">
      <c r="A3" s="6" t="s">
        <v>10</v>
      </c>
      <c r="B3" s="7">
        <v>1002</v>
      </c>
      <c r="C3">
        <v>2877</v>
      </c>
      <c r="D3" t="s">
        <v>14</v>
      </c>
      <c r="E3" s="3">
        <v>11.4</v>
      </c>
      <c r="F3" s="3">
        <v>16.3</v>
      </c>
      <c r="G3" s="1">
        <f t="shared" ref="G3:G66" si="1">F3-E3</f>
        <v>4.9000000000000004</v>
      </c>
      <c r="H3" s="1" t="s">
        <v>43</v>
      </c>
      <c r="I3" t="str">
        <f t="shared" si="0"/>
        <v>-</v>
      </c>
      <c r="J3" t="s">
        <v>15</v>
      </c>
      <c r="K3" t="s">
        <v>16</v>
      </c>
    </row>
    <row r="4" spans="1:13">
      <c r="A4" s="6" t="s">
        <v>10</v>
      </c>
      <c r="B4" s="7">
        <v>1003</v>
      </c>
      <c r="C4">
        <v>2499</v>
      </c>
      <c r="D4" t="s">
        <v>17</v>
      </c>
      <c r="E4" s="3">
        <v>6.2</v>
      </c>
      <c r="F4" s="3">
        <v>9.1999999999999993</v>
      </c>
      <c r="G4" s="1">
        <f t="shared" si="1"/>
        <v>3</v>
      </c>
      <c r="H4" s="1" t="s">
        <v>43</v>
      </c>
      <c r="I4" t="str">
        <f t="shared" si="0"/>
        <v>-</v>
      </c>
      <c r="J4" t="s">
        <v>18</v>
      </c>
      <c r="K4" t="s">
        <v>19</v>
      </c>
      <c r="M4" t="str" cm="1">
        <f t="array" ref="M4:M7">_xlfn.UNIQUE(Table1[Sales Person])</f>
        <v>Chalie Barns</v>
      </c>
    </row>
    <row r="5" spans="1:13">
      <c r="A5" s="6" t="s">
        <v>10</v>
      </c>
      <c r="B5" s="7">
        <v>1004</v>
      </c>
      <c r="C5">
        <v>8722</v>
      </c>
      <c r="D5" t="s">
        <v>20</v>
      </c>
      <c r="E5" s="3">
        <v>344</v>
      </c>
      <c r="F5" s="3">
        <v>502</v>
      </c>
      <c r="G5" s="1">
        <f t="shared" si="1"/>
        <v>158</v>
      </c>
      <c r="H5" s="1" t="s">
        <v>44</v>
      </c>
      <c r="I5" t="str">
        <f t="shared" si="0"/>
        <v>Yes</v>
      </c>
      <c r="J5" t="s">
        <v>12</v>
      </c>
      <c r="K5" t="s">
        <v>19</v>
      </c>
      <c r="M5" t="str">
        <v>Juan Hernandez</v>
      </c>
    </row>
    <row r="6" spans="1:13">
      <c r="A6" s="6" t="s">
        <v>10</v>
      </c>
      <c r="B6" s="7">
        <v>1005</v>
      </c>
      <c r="C6">
        <v>1109</v>
      </c>
      <c r="D6" t="s">
        <v>21</v>
      </c>
      <c r="E6" s="3">
        <v>3</v>
      </c>
      <c r="F6" s="3">
        <v>8</v>
      </c>
      <c r="G6" s="1">
        <f t="shared" si="1"/>
        <v>5</v>
      </c>
      <c r="H6" s="1" t="s">
        <v>43</v>
      </c>
      <c r="I6" t="str">
        <f t="shared" si="0"/>
        <v>-</v>
      </c>
      <c r="J6" t="s">
        <v>18</v>
      </c>
      <c r="K6" t="s">
        <v>19</v>
      </c>
      <c r="M6" t="str">
        <v>Doug Smith</v>
      </c>
    </row>
    <row r="7" spans="1:13">
      <c r="A7" s="6" t="s">
        <v>10</v>
      </c>
      <c r="B7" s="7">
        <v>1006</v>
      </c>
      <c r="C7">
        <v>9822</v>
      </c>
      <c r="D7" t="s">
        <v>11</v>
      </c>
      <c r="E7" s="3">
        <v>58.3</v>
      </c>
      <c r="F7" s="3">
        <v>98.4</v>
      </c>
      <c r="G7" s="1">
        <f t="shared" si="1"/>
        <v>40.1</v>
      </c>
      <c r="H7" s="1" t="s">
        <v>43</v>
      </c>
      <c r="I7" t="str">
        <f t="shared" si="0"/>
        <v>-</v>
      </c>
      <c r="J7" t="s">
        <v>18</v>
      </c>
      <c r="K7" t="s">
        <v>19</v>
      </c>
      <c r="M7" t="str">
        <v>Hellen Johnson</v>
      </c>
    </row>
    <row r="8" spans="1:13">
      <c r="A8" s="6" t="s">
        <v>10</v>
      </c>
      <c r="B8" s="7">
        <v>1007</v>
      </c>
      <c r="C8">
        <v>1109</v>
      </c>
      <c r="D8" t="s">
        <v>21</v>
      </c>
      <c r="E8" s="3">
        <v>3</v>
      </c>
      <c r="F8" s="3">
        <v>8</v>
      </c>
      <c r="G8" s="1">
        <f t="shared" si="1"/>
        <v>5</v>
      </c>
      <c r="H8" s="1" t="s">
        <v>43</v>
      </c>
      <c r="I8" t="str">
        <f t="shared" si="0"/>
        <v>-</v>
      </c>
      <c r="J8" t="s">
        <v>22</v>
      </c>
      <c r="K8" t="s">
        <v>13</v>
      </c>
    </row>
    <row r="9" spans="1:13">
      <c r="A9" s="6" t="s">
        <v>10</v>
      </c>
      <c r="B9" s="7">
        <v>1008</v>
      </c>
      <c r="C9">
        <v>2877</v>
      </c>
      <c r="D9" t="s">
        <v>14</v>
      </c>
      <c r="E9" s="3">
        <v>11.4</v>
      </c>
      <c r="F9" s="3">
        <v>16.3</v>
      </c>
      <c r="G9" s="1">
        <f t="shared" si="1"/>
        <v>4.9000000000000004</v>
      </c>
      <c r="H9" s="1" t="s">
        <v>43</v>
      </c>
      <c r="I9" t="str">
        <f t="shared" si="0"/>
        <v>-</v>
      </c>
      <c r="J9" t="s">
        <v>18</v>
      </c>
      <c r="K9" t="s">
        <v>13</v>
      </c>
    </row>
    <row r="10" spans="1:13">
      <c r="A10" s="6" t="s">
        <v>10</v>
      </c>
      <c r="B10" s="7">
        <v>1009</v>
      </c>
      <c r="C10">
        <v>1109</v>
      </c>
      <c r="D10" t="s">
        <v>21</v>
      </c>
      <c r="E10" s="3">
        <v>3</v>
      </c>
      <c r="F10" s="3">
        <v>8</v>
      </c>
      <c r="G10" s="1">
        <f t="shared" si="1"/>
        <v>5</v>
      </c>
      <c r="H10" s="1" t="s">
        <v>43</v>
      </c>
      <c r="I10" t="str">
        <f t="shared" si="0"/>
        <v>-</v>
      </c>
      <c r="J10" t="s">
        <v>18</v>
      </c>
      <c r="K10" t="s">
        <v>19</v>
      </c>
    </row>
    <row r="11" spans="1:13">
      <c r="A11" s="6" t="s">
        <v>10</v>
      </c>
      <c r="B11" s="7">
        <v>1010</v>
      </c>
      <c r="C11">
        <v>2877</v>
      </c>
      <c r="D11" t="s">
        <v>14</v>
      </c>
      <c r="E11" s="3">
        <v>11.4</v>
      </c>
      <c r="F11" s="3">
        <v>16.3</v>
      </c>
      <c r="G11" s="1">
        <f t="shared" si="1"/>
        <v>4.9000000000000004</v>
      </c>
      <c r="H11" s="1" t="s">
        <v>43</v>
      </c>
      <c r="I11" t="str">
        <f t="shared" si="0"/>
        <v>-</v>
      </c>
      <c r="J11" t="s">
        <v>15</v>
      </c>
      <c r="K11" t="s">
        <v>23</v>
      </c>
    </row>
    <row r="12" spans="1:13">
      <c r="A12" s="6" t="s">
        <v>10</v>
      </c>
      <c r="B12" s="7">
        <v>1011</v>
      </c>
      <c r="C12">
        <v>2877</v>
      </c>
      <c r="D12" t="s">
        <v>14</v>
      </c>
      <c r="E12" s="3">
        <v>11.4</v>
      </c>
      <c r="F12" s="3">
        <v>16.3</v>
      </c>
      <c r="G12" s="1">
        <f t="shared" si="1"/>
        <v>4.9000000000000004</v>
      </c>
      <c r="H12" s="1" t="s">
        <v>43</v>
      </c>
      <c r="I12" t="str">
        <f t="shared" si="0"/>
        <v>-</v>
      </c>
      <c r="J12" t="s">
        <v>15</v>
      </c>
      <c r="K12" t="s">
        <v>19</v>
      </c>
    </row>
    <row r="13" spans="1:13">
      <c r="A13" s="6" t="s">
        <v>10</v>
      </c>
      <c r="B13" s="7">
        <v>1012</v>
      </c>
      <c r="C13">
        <v>4421</v>
      </c>
      <c r="D13" t="s">
        <v>24</v>
      </c>
      <c r="E13" s="3">
        <v>45</v>
      </c>
      <c r="F13" s="3">
        <v>87</v>
      </c>
      <c r="G13" s="1">
        <f t="shared" si="1"/>
        <v>42</v>
      </c>
      <c r="H13" s="1" t="s">
        <v>43</v>
      </c>
      <c r="I13" t="str">
        <f t="shared" si="0"/>
        <v>-</v>
      </c>
      <c r="J13" t="s">
        <v>18</v>
      </c>
      <c r="K13" t="s">
        <v>13</v>
      </c>
    </row>
    <row r="14" spans="1:13">
      <c r="A14" s="6" t="s">
        <v>10</v>
      </c>
      <c r="B14" s="7">
        <v>1013</v>
      </c>
      <c r="C14">
        <v>9212</v>
      </c>
      <c r="D14" t="s">
        <v>25</v>
      </c>
      <c r="E14" s="3">
        <v>4</v>
      </c>
      <c r="F14" s="3">
        <v>7</v>
      </c>
      <c r="G14" s="1">
        <f t="shared" si="1"/>
        <v>3</v>
      </c>
      <c r="H14" s="1" t="s">
        <v>43</v>
      </c>
      <c r="I14" t="str">
        <f t="shared" si="0"/>
        <v>-</v>
      </c>
      <c r="J14" t="s">
        <v>22</v>
      </c>
      <c r="K14" t="s">
        <v>23</v>
      </c>
    </row>
    <row r="15" spans="1:13">
      <c r="A15" s="6" t="s">
        <v>10</v>
      </c>
      <c r="B15" s="7">
        <v>1014</v>
      </c>
      <c r="C15">
        <v>8722</v>
      </c>
      <c r="D15" t="s">
        <v>20</v>
      </c>
      <c r="E15" s="3">
        <v>344</v>
      </c>
      <c r="F15" s="3">
        <v>502</v>
      </c>
      <c r="G15" s="1">
        <f t="shared" si="1"/>
        <v>158</v>
      </c>
      <c r="H15" s="1" t="s">
        <v>44</v>
      </c>
      <c r="I15" t="str">
        <f t="shared" si="0"/>
        <v>Yes</v>
      </c>
      <c r="J15" t="s">
        <v>12</v>
      </c>
      <c r="K15" t="s">
        <v>16</v>
      </c>
    </row>
    <row r="16" spans="1:13">
      <c r="A16" s="6" t="s">
        <v>10</v>
      </c>
      <c r="B16" s="7">
        <v>1015</v>
      </c>
      <c r="C16">
        <v>2877</v>
      </c>
      <c r="D16" t="s">
        <v>14</v>
      </c>
      <c r="E16" s="3">
        <v>11.4</v>
      </c>
      <c r="F16" s="3">
        <v>16.3</v>
      </c>
      <c r="G16" s="1">
        <f t="shared" si="1"/>
        <v>4.9000000000000004</v>
      </c>
      <c r="H16" s="1" t="s">
        <v>43</v>
      </c>
      <c r="I16" t="str">
        <f t="shared" si="0"/>
        <v>-</v>
      </c>
      <c r="J16" t="s">
        <v>22</v>
      </c>
      <c r="K16" t="s">
        <v>19</v>
      </c>
    </row>
    <row r="17" spans="1:11">
      <c r="A17" s="6" t="s">
        <v>10</v>
      </c>
      <c r="B17" s="7">
        <v>1016</v>
      </c>
      <c r="C17">
        <v>2499</v>
      </c>
      <c r="D17" t="s">
        <v>17</v>
      </c>
      <c r="E17" s="3">
        <v>6.2</v>
      </c>
      <c r="F17" s="3">
        <v>9.1999999999999993</v>
      </c>
      <c r="G17" s="1">
        <f t="shared" si="1"/>
        <v>3</v>
      </c>
      <c r="H17" s="1" t="s">
        <v>43</v>
      </c>
      <c r="I17" t="str">
        <f t="shared" si="0"/>
        <v>-</v>
      </c>
      <c r="J17" t="s">
        <v>18</v>
      </c>
      <c r="K17" t="s">
        <v>16</v>
      </c>
    </row>
    <row r="18" spans="1:11">
      <c r="A18" s="6" t="s">
        <v>26</v>
      </c>
      <c r="B18" s="7">
        <v>1017</v>
      </c>
      <c r="C18">
        <v>2242</v>
      </c>
      <c r="D18" t="s">
        <v>27</v>
      </c>
      <c r="E18" s="3">
        <v>60</v>
      </c>
      <c r="F18" s="3">
        <v>124</v>
      </c>
      <c r="G18" s="1">
        <f t="shared" si="1"/>
        <v>64</v>
      </c>
      <c r="H18" s="1" t="s">
        <v>43</v>
      </c>
      <c r="I18" t="str">
        <f t="shared" si="0"/>
        <v>-</v>
      </c>
      <c r="J18" t="s">
        <v>15</v>
      </c>
      <c r="K18" t="s">
        <v>13</v>
      </c>
    </row>
    <row r="19" spans="1:11">
      <c r="A19" s="6" t="s">
        <v>26</v>
      </c>
      <c r="B19" s="7">
        <v>1018</v>
      </c>
      <c r="C19">
        <v>1109</v>
      </c>
      <c r="D19" t="s">
        <v>21</v>
      </c>
      <c r="E19" s="3">
        <v>3</v>
      </c>
      <c r="F19" s="3">
        <v>8</v>
      </c>
      <c r="G19" s="1">
        <f t="shared" si="1"/>
        <v>5</v>
      </c>
      <c r="H19" s="1" t="s">
        <v>43</v>
      </c>
      <c r="I19" t="str">
        <f t="shared" si="0"/>
        <v>-</v>
      </c>
      <c r="J19" t="s">
        <v>18</v>
      </c>
      <c r="K19" t="s">
        <v>16</v>
      </c>
    </row>
    <row r="20" spans="1:11">
      <c r="A20" s="6" t="s">
        <v>26</v>
      </c>
      <c r="B20" s="7">
        <v>1019</v>
      </c>
      <c r="C20">
        <v>2499</v>
      </c>
      <c r="D20" t="s">
        <v>17</v>
      </c>
      <c r="E20" s="3">
        <v>6.2</v>
      </c>
      <c r="F20" s="3">
        <v>9.1999999999999993</v>
      </c>
      <c r="G20" s="1">
        <f t="shared" si="1"/>
        <v>3</v>
      </c>
      <c r="H20" s="1" t="s">
        <v>43</v>
      </c>
      <c r="I20" t="str">
        <f t="shared" si="0"/>
        <v>-</v>
      </c>
      <c r="J20" t="s">
        <v>18</v>
      </c>
      <c r="K20" t="s">
        <v>23</v>
      </c>
    </row>
    <row r="21" spans="1:11">
      <c r="A21" s="6" t="s">
        <v>26</v>
      </c>
      <c r="B21" s="7">
        <v>1020</v>
      </c>
      <c r="C21">
        <v>2499</v>
      </c>
      <c r="D21" t="s">
        <v>17</v>
      </c>
      <c r="E21" s="3">
        <v>6.2</v>
      </c>
      <c r="F21" s="3">
        <v>9.1999999999999993</v>
      </c>
      <c r="G21" s="1">
        <f t="shared" si="1"/>
        <v>3</v>
      </c>
      <c r="H21" s="1" t="s">
        <v>43</v>
      </c>
      <c r="I21" t="str">
        <f t="shared" si="0"/>
        <v>-</v>
      </c>
      <c r="J21" t="s">
        <v>18</v>
      </c>
      <c r="K21" t="s">
        <v>28</v>
      </c>
    </row>
    <row r="22" spans="1:11">
      <c r="A22" s="6" t="s">
        <v>26</v>
      </c>
      <c r="B22" s="7">
        <v>1021</v>
      </c>
      <c r="C22">
        <v>1109</v>
      </c>
      <c r="D22" t="s">
        <v>21</v>
      </c>
      <c r="E22" s="3">
        <v>3</v>
      </c>
      <c r="F22" s="3">
        <v>8</v>
      </c>
      <c r="G22" s="1">
        <f t="shared" si="1"/>
        <v>5</v>
      </c>
      <c r="H22" s="1" t="s">
        <v>43</v>
      </c>
      <c r="I22" t="str">
        <f t="shared" si="0"/>
        <v>-</v>
      </c>
      <c r="J22" t="s">
        <v>15</v>
      </c>
      <c r="K22" t="s">
        <v>23</v>
      </c>
    </row>
    <row r="23" spans="1:11">
      <c r="A23" s="6" t="s">
        <v>26</v>
      </c>
      <c r="B23" s="7">
        <v>1022</v>
      </c>
      <c r="C23">
        <v>2877</v>
      </c>
      <c r="D23" t="s">
        <v>14</v>
      </c>
      <c r="E23" s="3">
        <v>11.4</v>
      </c>
      <c r="F23" s="3">
        <v>16.3</v>
      </c>
      <c r="G23" s="1">
        <f t="shared" si="1"/>
        <v>4.9000000000000004</v>
      </c>
      <c r="H23" s="1" t="s">
        <v>43</v>
      </c>
      <c r="I23" t="str">
        <f t="shared" si="0"/>
        <v>-</v>
      </c>
      <c r="J23" t="s">
        <v>18</v>
      </c>
      <c r="K23" t="s">
        <v>29</v>
      </c>
    </row>
    <row r="24" spans="1:11">
      <c r="A24" s="6" t="s">
        <v>26</v>
      </c>
      <c r="B24" s="7">
        <v>1023</v>
      </c>
      <c r="C24">
        <v>1109</v>
      </c>
      <c r="D24" t="s">
        <v>21</v>
      </c>
      <c r="E24" s="3">
        <v>3</v>
      </c>
      <c r="F24" s="3">
        <v>8</v>
      </c>
      <c r="G24" s="1">
        <f t="shared" si="1"/>
        <v>5</v>
      </c>
      <c r="H24" s="1" t="s">
        <v>43</v>
      </c>
      <c r="I24" t="str">
        <f t="shared" si="0"/>
        <v>-</v>
      </c>
      <c r="J24" t="s">
        <v>22</v>
      </c>
      <c r="K24" t="s">
        <v>13</v>
      </c>
    </row>
    <row r="25" spans="1:11">
      <c r="A25" s="6" t="s">
        <v>26</v>
      </c>
      <c r="B25" s="7">
        <v>1024</v>
      </c>
      <c r="C25">
        <v>9212</v>
      </c>
      <c r="D25" t="s">
        <v>25</v>
      </c>
      <c r="E25" s="3">
        <v>4</v>
      </c>
      <c r="F25" s="3">
        <v>7</v>
      </c>
      <c r="G25" s="1">
        <f t="shared" si="1"/>
        <v>3</v>
      </c>
      <c r="H25" s="1" t="s">
        <v>43</v>
      </c>
      <c r="I25" t="str">
        <f t="shared" si="0"/>
        <v>-</v>
      </c>
      <c r="J25" t="s">
        <v>15</v>
      </c>
      <c r="K25" t="s">
        <v>29</v>
      </c>
    </row>
    <row r="26" spans="1:11">
      <c r="A26" s="6" t="s">
        <v>26</v>
      </c>
      <c r="B26" s="7">
        <v>1025</v>
      </c>
      <c r="C26">
        <v>2877</v>
      </c>
      <c r="D26" t="s">
        <v>14</v>
      </c>
      <c r="E26" s="3">
        <v>11.4</v>
      </c>
      <c r="F26" s="3">
        <v>16.3</v>
      </c>
      <c r="G26" s="1">
        <f t="shared" si="1"/>
        <v>4.9000000000000004</v>
      </c>
      <c r="H26" s="1" t="s">
        <v>43</v>
      </c>
      <c r="I26" t="str">
        <f t="shared" si="0"/>
        <v>-</v>
      </c>
      <c r="J26" t="s">
        <v>22</v>
      </c>
      <c r="K26" t="s">
        <v>28</v>
      </c>
    </row>
    <row r="27" spans="1:11">
      <c r="A27" s="6" t="s">
        <v>26</v>
      </c>
      <c r="B27" s="7">
        <v>1026</v>
      </c>
      <c r="C27">
        <v>6119</v>
      </c>
      <c r="D27" t="s">
        <v>30</v>
      </c>
      <c r="E27" s="3">
        <v>9</v>
      </c>
      <c r="F27" s="3">
        <v>14</v>
      </c>
      <c r="G27" s="1">
        <f t="shared" si="1"/>
        <v>5</v>
      </c>
      <c r="H27" s="1" t="s">
        <v>43</v>
      </c>
      <c r="I27" t="str">
        <f t="shared" si="0"/>
        <v>-</v>
      </c>
      <c r="J27" t="s">
        <v>22</v>
      </c>
      <c r="K27" t="s">
        <v>13</v>
      </c>
    </row>
    <row r="28" spans="1:11">
      <c r="A28" s="6" t="s">
        <v>26</v>
      </c>
      <c r="B28" s="7">
        <v>1027</v>
      </c>
      <c r="C28">
        <v>6119</v>
      </c>
      <c r="D28" t="s">
        <v>30</v>
      </c>
      <c r="E28" s="3">
        <v>9</v>
      </c>
      <c r="F28" s="3">
        <v>14</v>
      </c>
      <c r="G28" s="1">
        <f t="shared" si="1"/>
        <v>5</v>
      </c>
      <c r="H28" s="1" t="s">
        <v>43</v>
      </c>
      <c r="I28" t="str">
        <f t="shared" si="0"/>
        <v>-</v>
      </c>
      <c r="J28" t="s">
        <v>12</v>
      </c>
      <c r="K28" t="s">
        <v>28</v>
      </c>
    </row>
    <row r="29" spans="1:11">
      <c r="A29" s="6" t="s">
        <v>26</v>
      </c>
      <c r="B29" s="7">
        <v>1028</v>
      </c>
      <c r="C29">
        <v>8722</v>
      </c>
      <c r="D29" t="s">
        <v>20</v>
      </c>
      <c r="E29" s="3">
        <v>344</v>
      </c>
      <c r="F29" s="3">
        <v>502</v>
      </c>
      <c r="G29" s="1">
        <f t="shared" si="1"/>
        <v>158</v>
      </c>
      <c r="H29" s="1" t="s">
        <v>44</v>
      </c>
      <c r="I29" t="str">
        <f t="shared" si="0"/>
        <v>Yes</v>
      </c>
      <c r="J29" t="s">
        <v>12</v>
      </c>
      <c r="K29" t="s">
        <v>19</v>
      </c>
    </row>
    <row r="30" spans="1:11">
      <c r="A30" s="6" t="s">
        <v>26</v>
      </c>
      <c r="B30" s="7">
        <v>1029</v>
      </c>
      <c r="C30">
        <v>2499</v>
      </c>
      <c r="D30" t="s">
        <v>17</v>
      </c>
      <c r="E30" s="3">
        <v>6.2</v>
      </c>
      <c r="F30" s="3">
        <v>9.1999999999999993</v>
      </c>
      <c r="G30" s="1">
        <f t="shared" si="1"/>
        <v>3</v>
      </c>
      <c r="H30" s="1" t="s">
        <v>43</v>
      </c>
      <c r="I30" t="str">
        <f t="shared" si="0"/>
        <v>-</v>
      </c>
      <c r="J30" t="s">
        <v>15</v>
      </c>
      <c r="K30" t="s">
        <v>19</v>
      </c>
    </row>
    <row r="31" spans="1:11">
      <c r="A31" s="6" t="s">
        <v>26</v>
      </c>
      <c r="B31" s="7">
        <v>1030</v>
      </c>
      <c r="C31">
        <v>4421</v>
      </c>
      <c r="D31" t="s">
        <v>24</v>
      </c>
      <c r="E31" s="3">
        <v>45</v>
      </c>
      <c r="F31" s="3">
        <v>87</v>
      </c>
      <c r="G31" s="1">
        <f t="shared" si="1"/>
        <v>42</v>
      </c>
      <c r="H31" s="1" t="s">
        <v>43</v>
      </c>
      <c r="I31" t="str">
        <f t="shared" si="0"/>
        <v>-</v>
      </c>
      <c r="J31" t="s">
        <v>15</v>
      </c>
      <c r="K31" t="s">
        <v>28</v>
      </c>
    </row>
    <row r="32" spans="1:11">
      <c r="A32" s="6" t="s">
        <v>26</v>
      </c>
      <c r="B32" s="7">
        <v>1031</v>
      </c>
      <c r="C32">
        <v>1109</v>
      </c>
      <c r="D32" t="s">
        <v>21</v>
      </c>
      <c r="E32" s="3">
        <v>3</v>
      </c>
      <c r="F32" s="3">
        <v>8</v>
      </c>
      <c r="G32" s="1">
        <f t="shared" si="1"/>
        <v>5</v>
      </c>
      <c r="H32" s="1" t="s">
        <v>43</v>
      </c>
      <c r="I32" t="str">
        <f t="shared" si="0"/>
        <v>-</v>
      </c>
      <c r="J32" t="s">
        <v>15</v>
      </c>
      <c r="K32" t="s">
        <v>16</v>
      </c>
    </row>
    <row r="33" spans="1:11">
      <c r="A33" s="6" t="s">
        <v>26</v>
      </c>
      <c r="B33" s="7">
        <v>1032</v>
      </c>
      <c r="C33">
        <v>2877</v>
      </c>
      <c r="D33" t="s">
        <v>14</v>
      </c>
      <c r="E33" s="3">
        <v>11.4</v>
      </c>
      <c r="F33" s="3">
        <v>16.3</v>
      </c>
      <c r="G33" s="1">
        <f t="shared" si="1"/>
        <v>4.9000000000000004</v>
      </c>
      <c r="H33" s="1" t="s">
        <v>43</v>
      </c>
      <c r="I33" t="str">
        <f t="shared" si="0"/>
        <v>-</v>
      </c>
      <c r="J33" t="s">
        <v>12</v>
      </c>
      <c r="K33" t="s">
        <v>19</v>
      </c>
    </row>
    <row r="34" spans="1:11">
      <c r="A34" s="6" t="s">
        <v>26</v>
      </c>
      <c r="B34" s="7">
        <v>1033</v>
      </c>
      <c r="C34">
        <v>9822</v>
      </c>
      <c r="D34" t="s">
        <v>11</v>
      </c>
      <c r="E34" s="3">
        <v>58.3</v>
      </c>
      <c r="F34" s="3">
        <v>98.4</v>
      </c>
      <c r="G34" s="1">
        <f t="shared" si="1"/>
        <v>40.1</v>
      </c>
      <c r="H34" s="1" t="s">
        <v>43</v>
      </c>
      <c r="I34" t="str">
        <f t="shared" ref="I34:I65" si="2">IF(G34&gt;=100,"Yes","-")</f>
        <v>-</v>
      </c>
      <c r="J34" t="s">
        <v>15</v>
      </c>
      <c r="K34" t="s">
        <v>16</v>
      </c>
    </row>
    <row r="35" spans="1:11">
      <c r="A35" s="6" t="s">
        <v>26</v>
      </c>
      <c r="B35" s="7">
        <v>1034</v>
      </c>
      <c r="C35">
        <v>2877</v>
      </c>
      <c r="D35" t="s">
        <v>14</v>
      </c>
      <c r="E35" s="3">
        <v>11.4</v>
      </c>
      <c r="F35" s="3">
        <v>16.3</v>
      </c>
      <c r="G35" s="1">
        <f t="shared" si="1"/>
        <v>4.9000000000000004</v>
      </c>
      <c r="H35" s="1" t="s">
        <v>43</v>
      </c>
      <c r="I35" t="str">
        <f t="shared" si="2"/>
        <v>-</v>
      </c>
      <c r="J35" t="s">
        <v>15</v>
      </c>
      <c r="K35" t="s">
        <v>23</v>
      </c>
    </row>
    <row r="36" spans="1:11">
      <c r="A36" s="6" t="s">
        <v>31</v>
      </c>
      <c r="B36" s="7">
        <v>1035</v>
      </c>
      <c r="C36">
        <v>2499</v>
      </c>
      <c r="D36" t="s">
        <v>17</v>
      </c>
      <c r="E36" s="3">
        <v>6.2</v>
      </c>
      <c r="F36" s="3">
        <v>9.1999999999999993</v>
      </c>
      <c r="G36" s="1">
        <f t="shared" si="1"/>
        <v>3</v>
      </c>
      <c r="H36" s="1" t="s">
        <v>43</v>
      </c>
      <c r="I36" t="str">
        <f t="shared" si="2"/>
        <v>-</v>
      </c>
      <c r="J36" t="s">
        <v>22</v>
      </c>
      <c r="K36" t="s">
        <v>16</v>
      </c>
    </row>
    <row r="37" spans="1:11">
      <c r="A37" s="6" t="s">
        <v>31</v>
      </c>
      <c r="B37" s="7">
        <v>1036</v>
      </c>
      <c r="C37">
        <v>2499</v>
      </c>
      <c r="D37" t="s">
        <v>17</v>
      </c>
      <c r="E37" s="3">
        <v>6.2</v>
      </c>
      <c r="F37" s="3">
        <v>9.1999999999999993</v>
      </c>
      <c r="G37" s="1">
        <f t="shared" si="1"/>
        <v>3</v>
      </c>
      <c r="H37" s="1" t="s">
        <v>43</v>
      </c>
      <c r="I37" t="str">
        <f t="shared" si="2"/>
        <v>-</v>
      </c>
      <c r="J37" t="s">
        <v>15</v>
      </c>
      <c r="K37" t="s">
        <v>28</v>
      </c>
    </row>
    <row r="38" spans="1:11">
      <c r="A38" s="6" t="s">
        <v>31</v>
      </c>
      <c r="B38" s="7">
        <v>1037</v>
      </c>
      <c r="C38">
        <v>6622</v>
      </c>
      <c r="D38" t="s">
        <v>32</v>
      </c>
      <c r="E38" s="3">
        <v>42</v>
      </c>
      <c r="F38" s="3">
        <v>77</v>
      </c>
      <c r="G38" s="1">
        <f t="shared" si="1"/>
        <v>35</v>
      </c>
      <c r="H38" s="1" t="s">
        <v>43</v>
      </c>
      <c r="I38" t="str">
        <f t="shared" si="2"/>
        <v>-</v>
      </c>
      <c r="J38" t="s">
        <v>15</v>
      </c>
      <c r="K38" t="s">
        <v>28</v>
      </c>
    </row>
    <row r="39" spans="1:11">
      <c r="A39" s="6" t="s">
        <v>31</v>
      </c>
      <c r="B39" s="7">
        <v>1038</v>
      </c>
      <c r="C39">
        <v>2499</v>
      </c>
      <c r="D39" t="s">
        <v>17</v>
      </c>
      <c r="E39" s="3">
        <v>6.2</v>
      </c>
      <c r="F39" s="3">
        <v>9.1999999999999993</v>
      </c>
      <c r="G39" s="1">
        <f t="shared" si="1"/>
        <v>3</v>
      </c>
      <c r="H39" s="1" t="s">
        <v>43</v>
      </c>
      <c r="I39" t="str">
        <f t="shared" si="2"/>
        <v>-</v>
      </c>
      <c r="J39" t="s">
        <v>15</v>
      </c>
      <c r="K39" t="s">
        <v>28</v>
      </c>
    </row>
    <row r="40" spans="1:11">
      <c r="A40" s="6" t="s">
        <v>31</v>
      </c>
      <c r="B40" s="7">
        <v>1039</v>
      </c>
      <c r="C40">
        <v>2877</v>
      </c>
      <c r="D40" t="s">
        <v>14</v>
      </c>
      <c r="E40" s="3">
        <v>11.4</v>
      </c>
      <c r="F40" s="3">
        <v>16.3</v>
      </c>
      <c r="G40" s="1">
        <f t="shared" si="1"/>
        <v>4.9000000000000004</v>
      </c>
      <c r="H40" s="1" t="s">
        <v>43</v>
      </c>
      <c r="I40" t="str">
        <f t="shared" si="2"/>
        <v>-</v>
      </c>
      <c r="J40" t="s">
        <v>15</v>
      </c>
      <c r="K40" t="s">
        <v>16</v>
      </c>
    </row>
    <row r="41" spans="1:11">
      <c r="A41" s="6" t="s">
        <v>31</v>
      </c>
      <c r="B41" s="7">
        <v>1040</v>
      </c>
      <c r="C41">
        <v>1109</v>
      </c>
      <c r="D41" t="s">
        <v>21</v>
      </c>
      <c r="E41" s="3">
        <v>3</v>
      </c>
      <c r="F41" s="3">
        <v>8</v>
      </c>
      <c r="G41" s="1">
        <f t="shared" si="1"/>
        <v>5</v>
      </c>
      <c r="H41" s="1" t="s">
        <v>43</v>
      </c>
      <c r="I41" t="str">
        <f t="shared" si="2"/>
        <v>-</v>
      </c>
      <c r="J41" t="s">
        <v>15</v>
      </c>
      <c r="K41" t="s">
        <v>19</v>
      </c>
    </row>
    <row r="42" spans="1:11">
      <c r="A42" s="6" t="s">
        <v>31</v>
      </c>
      <c r="B42" s="7">
        <v>1041</v>
      </c>
      <c r="C42">
        <v>2499</v>
      </c>
      <c r="D42" t="s">
        <v>17</v>
      </c>
      <c r="E42" s="3">
        <v>6.2</v>
      </c>
      <c r="F42" s="3">
        <v>9.1999999999999993</v>
      </c>
      <c r="G42" s="1">
        <f t="shared" si="1"/>
        <v>3</v>
      </c>
      <c r="H42" s="1" t="s">
        <v>43</v>
      </c>
      <c r="I42" t="str">
        <f t="shared" si="2"/>
        <v>-</v>
      </c>
      <c r="J42" t="s">
        <v>12</v>
      </c>
      <c r="K42" t="s">
        <v>13</v>
      </c>
    </row>
    <row r="43" spans="1:11">
      <c r="A43" s="6" t="s">
        <v>31</v>
      </c>
      <c r="B43" s="7">
        <v>1042</v>
      </c>
      <c r="C43">
        <v>8722</v>
      </c>
      <c r="D43" t="s">
        <v>20</v>
      </c>
      <c r="E43" s="3">
        <v>344</v>
      </c>
      <c r="F43" s="3">
        <v>502</v>
      </c>
      <c r="G43" s="1">
        <f t="shared" si="1"/>
        <v>158</v>
      </c>
      <c r="H43" s="1" t="s">
        <v>44</v>
      </c>
      <c r="I43" t="str">
        <f t="shared" si="2"/>
        <v>Yes</v>
      </c>
      <c r="J43" t="s">
        <v>18</v>
      </c>
      <c r="K43" t="s">
        <v>13</v>
      </c>
    </row>
    <row r="44" spans="1:11">
      <c r="A44" s="6" t="s">
        <v>31</v>
      </c>
      <c r="B44" s="7">
        <v>1043</v>
      </c>
      <c r="C44">
        <v>2242</v>
      </c>
      <c r="D44" t="s">
        <v>27</v>
      </c>
      <c r="E44" s="3">
        <v>60</v>
      </c>
      <c r="F44" s="3">
        <v>124</v>
      </c>
      <c r="G44" s="1">
        <f t="shared" si="1"/>
        <v>64</v>
      </c>
      <c r="H44" s="1" t="s">
        <v>43</v>
      </c>
      <c r="I44" t="str">
        <f t="shared" si="2"/>
        <v>-</v>
      </c>
      <c r="J44" t="s">
        <v>18</v>
      </c>
      <c r="K44" t="s">
        <v>16</v>
      </c>
    </row>
    <row r="45" spans="1:11">
      <c r="A45" s="6" t="s">
        <v>31</v>
      </c>
      <c r="B45" s="7">
        <v>1044</v>
      </c>
      <c r="C45">
        <v>2877</v>
      </c>
      <c r="D45" t="s">
        <v>14</v>
      </c>
      <c r="E45" s="3">
        <v>11.4</v>
      </c>
      <c r="F45" s="3">
        <v>16.3</v>
      </c>
      <c r="G45" s="1">
        <f t="shared" si="1"/>
        <v>4.9000000000000004</v>
      </c>
      <c r="H45" s="1" t="s">
        <v>43</v>
      </c>
      <c r="I45" t="str">
        <f t="shared" si="2"/>
        <v>-</v>
      </c>
      <c r="J45" t="s">
        <v>18</v>
      </c>
      <c r="K45" t="s">
        <v>16</v>
      </c>
    </row>
    <row r="46" spans="1:11">
      <c r="A46" s="6" t="s">
        <v>31</v>
      </c>
      <c r="B46" s="7">
        <v>1045</v>
      </c>
      <c r="C46">
        <v>8722</v>
      </c>
      <c r="D46" t="s">
        <v>20</v>
      </c>
      <c r="E46" s="3">
        <v>344</v>
      </c>
      <c r="F46" s="3">
        <v>502</v>
      </c>
      <c r="G46" s="1">
        <f t="shared" si="1"/>
        <v>158</v>
      </c>
      <c r="H46" s="1" t="s">
        <v>44</v>
      </c>
      <c r="I46" t="str">
        <f t="shared" si="2"/>
        <v>Yes</v>
      </c>
      <c r="J46" t="s">
        <v>22</v>
      </c>
      <c r="K46" t="s">
        <v>19</v>
      </c>
    </row>
    <row r="47" spans="1:11">
      <c r="A47" s="6" t="s">
        <v>31</v>
      </c>
      <c r="B47" s="7">
        <v>1046</v>
      </c>
      <c r="C47">
        <v>6119</v>
      </c>
      <c r="D47" t="s">
        <v>30</v>
      </c>
      <c r="E47" s="3">
        <v>9</v>
      </c>
      <c r="F47" s="3">
        <v>14</v>
      </c>
      <c r="G47" s="1">
        <f t="shared" si="1"/>
        <v>5</v>
      </c>
      <c r="H47" s="1" t="s">
        <v>43</v>
      </c>
      <c r="I47" t="str">
        <f t="shared" si="2"/>
        <v>-</v>
      </c>
      <c r="J47" t="s">
        <v>15</v>
      </c>
      <c r="K47" t="s">
        <v>29</v>
      </c>
    </row>
    <row r="48" spans="1:11">
      <c r="A48" s="6" t="s">
        <v>31</v>
      </c>
      <c r="B48" s="7">
        <v>1047</v>
      </c>
      <c r="C48">
        <v>6622</v>
      </c>
      <c r="D48" t="s">
        <v>32</v>
      </c>
      <c r="E48" s="3">
        <v>42</v>
      </c>
      <c r="F48" s="3">
        <v>77</v>
      </c>
      <c r="G48" s="1">
        <f t="shared" si="1"/>
        <v>35</v>
      </c>
      <c r="H48" s="1" t="s">
        <v>43</v>
      </c>
      <c r="I48" t="str">
        <f t="shared" si="2"/>
        <v>-</v>
      </c>
      <c r="J48" t="s">
        <v>22</v>
      </c>
      <c r="K48" t="s">
        <v>19</v>
      </c>
    </row>
    <row r="49" spans="1:11">
      <c r="A49" s="6" t="s">
        <v>31</v>
      </c>
      <c r="B49" s="7">
        <v>1048</v>
      </c>
      <c r="C49">
        <v>8722</v>
      </c>
      <c r="D49" t="s">
        <v>20</v>
      </c>
      <c r="E49" s="3">
        <v>344</v>
      </c>
      <c r="F49" s="3">
        <v>502</v>
      </c>
      <c r="G49" s="1">
        <f t="shared" si="1"/>
        <v>158</v>
      </c>
      <c r="H49" s="1" t="s">
        <v>44</v>
      </c>
      <c r="I49" t="str">
        <f t="shared" si="2"/>
        <v>Yes</v>
      </c>
      <c r="J49" t="s">
        <v>12</v>
      </c>
      <c r="K49" t="s">
        <v>19</v>
      </c>
    </row>
    <row r="50" spans="1:11">
      <c r="A50" s="6" t="s">
        <v>33</v>
      </c>
      <c r="B50" s="7">
        <v>1049</v>
      </c>
      <c r="C50">
        <v>2499</v>
      </c>
      <c r="D50" t="s">
        <v>17</v>
      </c>
      <c r="E50" s="3">
        <v>6.2</v>
      </c>
      <c r="F50" s="3">
        <v>9.1999999999999993</v>
      </c>
      <c r="G50" s="1">
        <f t="shared" si="1"/>
        <v>3</v>
      </c>
      <c r="H50" s="1" t="s">
        <v>43</v>
      </c>
      <c r="I50" t="str">
        <f t="shared" si="2"/>
        <v>-</v>
      </c>
      <c r="J50" t="s">
        <v>12</v>
      </c>
      <c r="K50" t="s">
        <v>23</v>
      </c>
    </row>
    <row r="51" spans="1:11">
      <c r="A51" s="6" t="s">
        <v>33</v>
      </c>
      <c r="B51" s="7">
        <v>1050</v>
      </c>
      <c r="C51">
        <v>2877</v>
      </c>
      <c r="D51" t="s">
        <v>14</v>
      </c>
      <c r="E51" s="3">
        <v>11.4</v>
      </c>
      <c r="F51" s="3">
        <v>16.3</v>
      </c>
      <c r="G51" s="1">
        <f t="shared" si="1"/>
        <v>4.9000000000000004</v>
      </c>
      <c r="H51" s="1" t="s">
        <v>43</v>
      </c>
      <c r="I51" t="str">
        <f t="shared" si="2"/>
        <v>-</v>
      </c>
      <c r="J51" t="s">
        <v>12</v>
      </c>
      <c r="K51" t="s">
        <v>19</v>
      </c>
    </row>
    <row r="52" spans="1:11">
      <c r="A52" s="6" t="s">
        <v>33</v>
      </c>
      <c r="B52" s="7">
        <v>1051</v>
      </c>
      <c r="C52">
        <v>6119</v>
      </c>
      <c r="D52" t="s">
        <v>30</v>
      </c>
      <c r="E52" s="3">
        <v>9</v>
      </c>
      <c r="F52" s="3">
        <v>14</v>
      </c>
      <c r="G52" s="1">
        <f t="shared" si="1"/>
        <v>5</v>
      </c>
      <c r="H52" s="1" t="s">
        <v>43</v>
      </c>
      <c r="I52" t="str">
        <f t="shared" si="2"/>
        <v>-</v>
      </c>
      <c r="J52" t="s">
        <v>18</v>
      </c>
      <c r="K52" t="s">
        <v>29</v>
      </c>
    </row>
    <row r="53" spans="1:11">
      <c r="A53" s="6" t="s">
        <v>33</v>
      </c>
      <c r="B53" s="7">
        <v>1052</v>
      </c>
      <c r="C53">
        <v>6622</v>
      </c>
      <c r="D53" t="s">
        <v>32</v>
      </c>
      <c r="E53" s="3">
        <v>42</v>
      </c>
      <c r="F53" s="3">
        <v>77</v>
      </c>
      <c r="G53" s="1">
        <f t="shared" si="1"/>
        <v>35</v>
      </c>
      <c r="H53" s="1" t="s">
        <v>43</v>
      </c>
      <c r="I53" t="str">
        <f t="shared" si="2"/>
        <v>-</v>
      </c>
      <c r="J53" t="s">
        <v>18</v>
      </c>
      <c r="K53" t="s">
        <v>19</v>
      </c>
    </row>
    <row r="54" spans="1:11">
      <c r="A54" s="6" t="s">
        <v>33</v>
      </c>
      <c r="B54" s="7">
        <v>1053</v>
      </c>
      <c r="C54">
        <v>2242</v>
      </c>
      <c r="D54" t="s">
        <v>27</v>
      </c>
      <c r="E54" s="3">
        <v>60</v>
      </c>
      <c r="F54" s="3">
        <v>124</v>
      </c>
      <c r="G54" s="1">
        <f t="shared" si="1"/>
        <v>64</v>
      </c>
      <c r="H54" s="1" t="s">
        <v>43</v>
      </c>
      <c r="I54" t="str">
        <f t="shared" si="2"/>
        <v>-</v>
      </c>
      <c r="J54" t="s">
        <v>12</v>
      </c>
      <c r="K54" t="s">
        <v>16</v>
      </c>
    </row>
    <row r="55" spans="1:11">
      <c r="A55" s="6" t="s">
        <v>33</v>
      </c>
      <c r="B55" s="7">
        <v>1054</v>
      </c>
      <c r="C55">
        <v>4421</v>
      </c>
      <c r="D55" t="s">
        <v>24</v>
      </c>
      <c r="E55" s="3">
        <v>45</v>
      </c>
      <c r="F55" s="3">
        <v>87</v>
      </c>
      <c r="G55" s="1">
        <f t="shared" si="1"/>
        <v>42</v>
      </c>
      <c r="H55" s="1" t="s">
        <v>43</v>
      </c>
      <c r="I55" t="str">
        <f t="shared" si="2"/>
        <v>-</v>
      </c>
      <c r="J55" t="s">
        <v>18</v>
      </c>
      <c r="K55" t="s">
        <v>28</v>
      </c>
    </row>
    <row r="56" spans="1:11">
      <c r="A56" s="6" t="s">
        <v>33</v>
      </c>
      <c r="B56" s="7">
        <v>1055</v>
      </c>
      <c r="C56">
        <v>6119</v>
      </c>
      <c r="D56" t="s">
        <v>30</v>
      </c>
      <c r="E56" s="3">
        <v>9</v>
      </c>
      <c r="F56" s="3">
        <v>14</v>
      </c>
      <c r="G56" s="1">
        <f t="shared" si="1"/>
        <v>5</v>
      </c>
      <c r="H56" s="1" t="s">
        <v>43</v>
      </c>
      <c r="I56" t="str">
        <f t="shared" si="2"/>
        <v>-</v>
      </c>
      <c r="J56" t="s">
        <v>15</v>
      </c>
      <c r="K56" t="s">
        <v>28</v>
      </c>
    </row>
    <row r="57" spans="1:11">
      <c r="A57" s="6" t="s">
        <v>33</v>
      </c>
      <c r="B57" s="7">
        <v>1056</v>
      </c>
      <c r="C57">
        <v>1109</v>
      </c>
      <c r="D57" t="s">
        <v>21</v>
      </c>
      <c r="E57" s="3">
        <v>3</v>
      </c>
      <c r="F57" s="3">
        <v>8</v>
      </c>
      <c r="G57" s="1">
        <f t="shared" si="1"/>
        <v>5</v>
      </c>
      <c r="H57" s="1" t="s">
        <v>43</v>
      </c>
      <c r="I57" t="str">
        <f t="shared" si="2"/>
        <v>-</v>
      </c>
      <c r="J57" t="s">
        <v>18</v>
      </c>
      <c r="K57" t="s">
        <v>16</v>
      </c>
    </row>
    <row r="58" spans="1:11">
      <c r="A58" s="6" t="s">
        <v>33</v>
      </c>
      <c r="B58" s="7">
        <v>1057</v>
      </c>
      <c r="C58">
        <v>2499</v>
      </c>
      <c r="D58" t="s">
        <v>17</v>
      </c>
      <c r="E58" s="3">
        <v>6.2</v>
      </c>
      <c r="F58" s="3">
        <v>9.1999999999999993</v>
      </c>
      <c r="G58" s="1">
        <f t="shared" si="1"/>
        <v>3</v>
      </c>
      <c r="H58" s="1" t="s">
        <v>43</v>
      </c>
      <c r="I58" t="str">
        <f t="shared" si="2"/>
        <v>-</v>
      </c>
      <c r="J58" t="s">
        <v>15</v>
      </c>
      <c r="K58" t="s">
        <v>16</v>
      </c>
    </row>
    <row r="59" spans="1:11">
      <c r="A59" s="6" t="s">
        <v>33</v>
      </c>
      <c r="B59" s="7">
        <v>1058</v>
      </c>
      <c r="C59">
        <v>6119</v>
      </c>
      <c r="D59" t="s">
        <v>30</v>
      </c>
      <c r="E59" s="3">
        <v>9</v>
      </c>
      <c r="F59" s="3">
        <v>14</v>
      </c>
      <c r="G59" s="1">
        <f t="shared" si="1"/>
        <v>5</v>
      </c>
      <c r="H59" s="1" t="s">
        <v>43</v>
      </c>
      <c r="I59" t="str">
        <f t="shared" si="2"/>
        <v>-</v>
      </c>
      <c r="J59" t="s">
        <v>22</v>
      </c>
      <c r="K59" t="s">
        <v>19</v>
      </c>
    </row>
    <row r="60" spans="1:11">
      <c r="A60" s="6" t="s">
        <v>33</v>
      </c>
      <c r="B60" s="7">
        <v>1059</v>
      </c>
      <c r="C60">
        <v>2242</v>
      </c>
      <c r="D60" t="s">
        <v>27</v>
      </c>
      <c r="E60" s="3">
        <v>60</v>
      </c>
      <c r="F60" s="3">
        <v>124</v>
      </c>
      <c r="G60" s="1">
        <f t="shared" si="1"/>
        <v>64</v>
      </c>
      <c r="H60" s="1" t="s">
        <v>43</v>
      </c>
      <c r="I60" t="str">
        <f t="shared" si="2"/>
        <v>-</v>
      </c>
      <c r="J60" t="s">
        <v>18</v>
      </c>
      <c r="K60" t="s">
        <v>19</v>
      </c>
    </row>
    <row r="61" spans="1:11">
      <c r="A61" s="6" t="s">
        <v>33</v>
      </c>
      <c r="B61" s="7">
        <v>1060</v>
      </c>
      <c r="C61">
        <v>6119</v>
      </c>
      <c r="D61" t="s">
        <v>30</v>
      </c>
      <c r="E61" s="3">
        <v>9</v>
      </c>
      <c r="F61" s="3">
        <v>14</v>
      </c>
      <c r="G61" s="1">
        <f t="shared" si="1"/>
        <v>5</v>
      </c>
      <c r="H61" s="1" t="s">
        <v>43</v>
      </c>
      <c r="I61" t="str">
        <f t="shared" si="2"/>
        <v>-</v>
      </c>
      <c r="J61" t="s">
        <v>18</v>
      </c>
      <c r="K61" t="s">
        <v>28</v>
      </c>
    </row>
    <row r="62" spans="1:11">
      <c r="A62" s="6" t="s">
        <v>34</v>
      </c>
      <c r="B62" s="7">
        <v>1061</v>
      </c>
      <c r="C62">
        <v>1109</v>
      </c>
      <c r="D62" t="s">
        <v>21</v>
      </c>
      <c r="E62" s="3">
        <v>3</v>
      </c>
      <c r="F62" s="3">
        <v>8</v>
      </c>
      <c r="G62" s="1">
        <f t="shared" si="1"/>
        <v>5</v>
      </c>
      <c r="H62" s="1" t="s">
        <v>43</v>
      </c>
      <c r="I62" t="str">
        <f t="shared" si="2"/>
        <v>-</v>
      </c>
      <c r="J62" t="s">
        <v>18</v>
      </c>
      <c r="K62" t="s">
        <v>28</v>
      </c>
    </row>
    <row r="63" spans="1:11">
      <c r="A63" s="6" t="s">
        <v>34</v>
      </c>
      <c r="B63" s="7">
        <v>1062</v>
      </c>
      <c r="C63">
        <v>2499</v>
      </c>
      <c r="D63" t="s">
        <v>17</v>
      </c>
      <c r="E63" s="3">
        <v>6.2</v>
      </c>
      <c r="F63" s="3">
        <v>9.1999999999999993</v>
      </c>
      <c r="G63" s="1">
        <f t="shared" si="1"/>
        <v>3</v>
      </c>
      <c r="H63" s="1" t="s">
        <v>43</v>
      </c>
      <c r="I63" t="str">
        <f t="shared" si="2"/>
        <v>-</v>
      </c>
      <c r="J63" t="s">
        <v>12</v>
      </c>
      <c r="K63" t="s">
        <v>19</v>
      </c>
    </row>
    <row r="64" spans="1:11">
      <c r="A64" s="6" t="s">
        <v>34</v>
      </c>
      <c r="B64" s="7">
        <v>1063</v>
      </c>
      <c r="C64">
        <v>1109</v>
      </c>
      <c r="D64" t="s">
        <v>21</v>
      </c>
      <c r="E64" s="3">
        <v>3</v>
      </c>
      <c r="F64" s="3">
        <v>8</v>
      </c>
      <c r="G64" s="1">
        <f t="shared" si="1"/>
        <v>5</v>
      </c>
      <c r="H64" s="1" t="s">
        <v>43</v>
      </c>
      <c r="I64" t="str">
        <f t="shared" si="2"/>
        <v>-</v>
      </c>
      <c r="J64" t="s">
        <v>18</v>
      </c>
      <c r="K64" t="s">
        <v>16</v>
      </c>
    </row>
    <row r="65" spans="1:11">
      <c r="A65" s="6" t="s">
        <v>34</v>
      </c>
      <c r="B65" s="7">
        <v>1064</v>
      </c>
      <c r="C65">
        <v>2499</v>
      </c>
      <c r="D65" t="s">
        <v>17</v>
      </c>
      <c r="E65" s="3">
        <v>6.2</v>
      </c>
      <c r="F65" s="3">
        <v>9.1999999999999993</v>
      </c>
      <c r="G65" s="1">
        <f t="shared" si="1"/>
        <v>3</v>
      </c>
      <c r="H65" s="1" t="s">
        <v>43</v>
      </c>
      <c r="I65" t="str">
        <f t="shared" si="2"/>
        <v>-</v>
      </c>
      <c r="J65" t="s">
        <v>22</v>
      </c>
      <c r="K65" t="s">
        <v>19</v>
      </c>
    </row>
    <row r="66" spans="1:11">
      <c r="A66" s="6" t="s">
        <v>34</v>
      </c>
      <c r="B66" s="7">
        <v>1065</v>
      </c>
      <c r="C66">
        <v>2499</v>
      </c>
      <c r="D66" t="s">
        <v>17</v>
      </c>
      <c r="E66" s="3">
        <v>6.2</v>
      </c>
      <c r="F66" s="3">
        <v>9.1999999999999993</v>
      </c>
      <c r="G66" s="1">
        <f t="shared" si="1"/>
        <v>3</v>
      </c>
      <c r="H66" s="1" t="s">
        <v>43</v>
      </c>
      <c r="I66" t="str">
        <f t="shared" ref="I66:I97" si="3">IF(G66&gt;=100,"Yes","-")</f>
        <v>-</v>
      </c>
      <c r="J66" t="s">
        <v>18</v>
      </c>
      <c r="K66" t="s">
        <v>13</v>
      </c>
    </row>
    <row r="67" spans="1:11">
      <c r="A67" s="6" t="s">
        <v>34</v>
      </c>
      <c r="B67" s="7">
        <v>1066</v>
      </c>
      <c r="C67">
        <v>2877</v>
      </c>
      <c r="D67" t="s">
        <v>14</v>
      </c>
      <c r="E67" s="3">
        <v>11.4</v>
      </c>
      <c r="F67" s="3">
        <v>16.3</v>
      </c>
      <c r="G67" s="1">
        <f t="shared" ref="G67:G130" si="4">F67-E67</f>
        <v>4.9000000000000004</v>
      </c>
      <c r="H67" s="1" t="s">
        <v>43</v>
      </c>
      <c r="I67" t="str">
        <f t="shared" si="3"/>
        <v>-</v>
      </c>
      <c r="J67" t="s">
        <v>18</v>
      </c>
      <c r="K67" t="s">
        <v>28</v>
      </c>
    </row>
    <row r="68" spans="1:11">
      <c r="A68" s="6" t="s">
        <v>34</v>
      </c>
      <c r="B68" s="7">
        <v>1067</v>
      </c>
      <c r="C68">
        <v>2877</v>
      </c>
      <c r="D68" t="s">
        <v>14</v>
      </c>
      <c r="E68" s="3">
        <v>11.4</v>
      </c>
      <c r="F68" s="3">
        <v>16.3</v>
      </c>
      <c r="G68" s="1">
        <f t="shared" si="4"/>
        <v>4.9000000000000004</v>
      </c>
      <c r="H68" s="1" t="s">
        <v>43</v>
      </c>
      <c r="I68" t="str">
        <f t="shared" si="3"/>
        <v>-</v>
      </c>
      <c r="J68" t="s">
        <v>18</v>
      </c>
      <c r="K68" t="s">
        <v>29</v>
      </c>
    </row>
    <row r="69" spans="1:11">
      <c r="A69" s="6" t="s">
        <v>34</v>
      </c>
      <c r="B69" s="7">
        <v>1068</v>
      </c>
      <c r="C69">
        <v>6119</v>
      </c>
      <c r="D69" t="s">
        <v>30</v>
      </c>
      <c r="E69" s="3">
        <v>9</v>
      </c>
      <c r="F69" s="3">
        <v>14</v>
      </c>
      <c r="G69" s="1">
        <f t="shared" si="4"/>
        <v>5</v>
      </c>
      <c r="H69" s="1" t="s">
        <v>43</v>
      </c>
      <c r="I69" t="str">
        <f t="shared" si="3"/>
        <v>-</v>
      </c>
      <c r="J69" t="s">
        <v>15</v>
      </c>
      <c r="K69" t="s">
        <v>16</v>
      </c>
    </row>
    <row r="70" spans="1:11">
      <c r="A70" s="6" t="s">
        <v>34</v>
      </c>
      <c r="B70" s="7">
        <v>1069</v>
      </c>
      <c r="C70">
        <v>1109</v>
      </c>
      <c r="D70" t="s">
        <v>21</v>
      </c>
      <c r="E70" s="3">
        <v>3</v>
      </c>
      <c r="F70" s="3">
        <v>8</v>
      </c>
      <c r="G70" s="1">
        <f t="shared" si="4"/>
        <v>5</v>
      </c>
      <c r="H70" s="1" t="s">
        <v>43</v>
      </c>
      <c r="I70" t="str">
        <f t="shared" si="3"/>
        <v>-</v>
      </c>
      <c r="J70" t="s">
        <v>18</v>
      </c>
      <c r="K70" t="s">
        <v>19</v>
      </c>
    </row>
    <row r="71" spans="1:11">
      <c r="A71" s="6" t="s">
        <v>34</v>
      </c>
      <c r="B71" s="7">
        <v>1070</v>
      </c>
      <c r="C71">
        <v>2499</v>
      </c>
      <c r="D71" t="s">
        <v>17</v>
      </c>
      <c r="E71" s="3">
        <v>6.2</v>
      </c>
      <c r="F71" s="3">
        <v>9.1999999999999993</v>
      </c>
      <c r="G71" s="1">
        <f t="shared" si="4"/>
        <v>3</v>
      </c>
      <c r="H71" s="1" t="s">
        <v>43</v>
      </c>
      <c r="I71" t="str">
        <f t="shared" si="3"/>
        <v>-</v>
      </c>
      <c r="J71" t="s">
        <v>22</v>
      </c>
      <c r="K71" t="s">
        <v>19</v>
      </c>
    </row>
    <row r="72" spans="1:11">
      <c r="A72" s="6" t="s">
        <v>34</v>
      </c>
      <c r="B72" s="7">
        <v>1071</v>
      </c>
      <c r="C72">
        <v>1109</v>
      </c>
      <c r="D72" t="s">
        <v>21</v>
      </c>
      <c r="E72" s="3">
        <v>3</v>
      </c>
      <c r="F72" s="3">
        <v>8</v>
      </c>
      <c r="G72" s="1">
        <f t="shared" si="4"/>
        <v>5</v>
      </c>
      <c r="H72" s="1" t="s">
        <v>43</v>
      </c>
      <c r="I72" t="str">
        <f t="shared" si="3"/>
        <v>-</v>
      </c>
      <c r="J72" t="s">
        <v>12</v>
      </c>
      <c r="K72" t="s">
        <v>19</v>
      </c>
    </row>
    <row r="73" spans="1:11">
      <c r="A73" s="6" t="s">
        <v>34</v>
      </c>
      <c r="B73" s="7">
        <v>1072</v>
      </c>
      <c r="C73">
        <v>1109</v>
      </c>
      <c r="D73" t="s">
        <v>21</v>
      </c>
      <c r="E73" s="3">
        <v>3</v>
      </c>
      <c r="F73" s="3">
        <v>8</v>
      </c>
      <c r="G73" s="1">
        <f t="shared" si="4"/>
        <v>5</v>
      </c>
      <c r="H73" s="1" t="s">
        <v>43</v>
      </c>
      <c r="I73" t="str">
        <f t="shared" si="3"/>
        <v>-</v>
      </c>
      <c r="J73" t="s">
        <v>18</v>
      </c>
      <c r="K73" t="s">
        <v>28</v>
      </c>
    </row>
    <row r="74" spans="1:11">
      <c r="A74" s="6" t="s">
        <v>34</v>
      </c>
      <c r="B74" s="7">
        <v>1073</v>
      </c>
      <c r="C74">
        <v>6622</v>
      </c>
      <c r="D74" t="s">
        <v>32</v>
      </c>
      <c r="E74" s="3">
        <v>42</v>
      </c>
      <c r="F74" s="3">
        <v>77</v>
      </c>
      <c r="G74" s="1">
        <f t="shared" si="4"/>
        <v>35</v>
      </c>
      <c r="H74" s="1" t="s">
        <v>43</v>
      </c>
      <c r="I74" t="str">
        <f t="shared" si="3"/>
        <v>-</v>
      </c>
      <c r="J74" t="s">
        <v>18</v>
      </c>
      <c r="K74" t="s">
        <v>16</v>
      </c>
    </row>
    <row r="75" spans="1:11">
      <c r="A75" s="6" t="s">
        <v>34</v>
      </c>
      <c r="B75" s="7">
        <v>1074</v>
      </c>
      <c r="C75">
        <v>2877</v>
      </c>
      <c r="D75" t="s">
        <v>14</v>
      </c>
      <c r="E75" s="3">
        <v>11.4</v>
      </c>
      <c r="F75" s="3">
        <v>16.3</v>
      </c>
      <c r="G75" s="1">
        <f t="shared" si="4"/>
        <v>4.9000000000000004</v>
      </c>
      <c r="H75" s="1" t="s">
        <v>43</v>
      </c>
      <c r="I75" t="str">
        <f t="shared" si="3"/>
        <v>-</v>
      </c>
      <c r="J75" t="s">
        <v>18</v>
      </c>
      <c r="K75" t="s">
        <v>19</v>
      </c>
    </row>
    <row r="76" spans="1:11">
      <c r="A76" s="6" t="s">
        <v>34</v>
      </c>
      <c r="B76" s="7">
        <v>1075</v>
      </c>
      <c r="C76">
        <v>1109</v>
      </c>
      <c r="D76" t="s">
        <v>21</v>
      </c>
      <c r="E76" s="3">
        <v>3</v>
      </c>
      <c r="F76" s="3">
        <v>8</v>
      </c>
      <c r="G76" s="1">
        <f t="shared" si="4"/>
        <v>5</v>
      </c>
      <c r="H76" s="1" t="s">
        <v>43</v>
      </c>
      <c r="I76" t="str">
        <f t="shared" si="3"/>
        <v>-</v>
      </c>
      <c r="J76" t="s">
        <v>22</v>
      </c>
      <c r="K76" t="s">
        <v>16</v>
      </c>
    </row>
    <row r="77" spans="1:11">
      <c r="A77" s="6" t="s">
        <v>34</v>
      </c>
      <c r="B77" s="7">
        <v>1076</v>
      </c>
      <c r="C77">
        <v>1109</v>
      </c>
      <c r="D77" t="s">
        <v>21</v>
      </c>
      <c r="E77" s="3">
        <v>3</v>
      </c>
      <c r="F77" s="3">
        <v>8</v>
      </c>
      <c r="G77" s="1">
        <f t="shared" si="4"/>
        <v>5</v>
      </c>
      <c r="H77" s="1" t="s">
        <v>43</v>
      </c>
      <c r="I77" t="str">
        <f t="shared" si="3"/>
        <v>-</v>
      </c>
      <c r="J77" t="s">
        <v>15</v>
      </c>
      <c r="K77" t="s">
        <v>19</v>
      </c>
    </row>
    <row r="78" spans="1:11">
      <c r="A78" s="6" t="s">
        <v>34</v>
      </c>
      <c r="B78" s="7">
        <v>1077</v>
      </c>
      <c r="C78">
        <v>9822</v>
      </c>
      <c r="D78" t="s">
        <v>11</v>
      </c>
      <c r="E78" s="3">
        <v>58.3</v>
      </c>
      <c r="F78" s="3">
        <v>98.4</v>
      </c>
      <c r="G78" s="1">
        <f t="shared" si="4"/>
        <v>40.1</v>
      </c>
      <c r="H78" s="1" t="s">
        <v>43</v>
      </c>
      <c r="I78" t="str">
        <f t="shared" si="3"/>
        <v>-</v>
      </c>
      <c r="J78" t="s">
        <v>22</v>
      </c>
      <c r="K78" t="s">
        <v>19</v>
      </c>
    </row>
    <row r="79" spans="1:11">
      <c r="A79" s="6" t="s">
        <v>34</v>
      </c>
      <c r="B79" s="7">
        <v>1078</v>
      </c>
      <c r="C79">
        <v>2877</v>
      </c>
      <c r="D79" t="s">
        <v>14</v>
      </c>
      <c r="E79" s="3">
        <v>11.4</v>
      </c>
      <c r="F79" s="3">
        <v>16.3</v>
      </c>
      <c r="G79" s="1">
        <f t="shared" si="4"/>
        <v>4.9000000000000004</v>
      </c>
      <c r="H79" s="1" t="s">
        <v>43</v>
      </c>
      <c r="I79" t="str">
        <f t="shared" si="3"/>
        <v>-</v>
      </c>
      <c r="J79" t="s">
        <v>15</v>
      </c>
      <c r="K79" t="s">
        <v>28</v>
      </c>
    </row>
    <row r="80" spans="1:11">
      <c r="A80" s="6" t="s">
        <v>35</v>
      </c>
      <c r="B80" s="7">
        <v>1079</v>
      </c>
      <c r="C80">
        <v>2877</v>
      </c>
      <c r="D80" t="s">
        <v>14</v>
      </c>
      <c r="E80" s="3">
        <v>11.4</v>
      </c>
      <c r="F80" s="3">
        <v>16.3</v>
      </c>
      <c r="G80" s="1">
        <f t="shared" si="4"/>
        <v>4.9000000000000004</v>
      </c>
      <c r="H80" s="1" t="s">
        <v>43</v>
      </c>
      <c r="I80" t="str">
        <f t="shared" si="3"/>
        <v>-</v>
      </c>
      <c r="J80" t="s">
        <v>15</v>
      </c>
      <c r="K80" t="s">
        <v>13</v>
      </c>
    </row>
    <row r="81" spans="1:11">
      <c r="A81" s="6" t="s">
        <v>35</v>
      </c>
      <c r="B81" s="7">
        <v>1080</v>
      </c>
      <c r="C81">
        <v>4421</v>
      </c>
      <c r="D81" t="s">
        <v>24</v>
      </c>
      <c r="E81" s="3">
        <v>45</v>
      </c>
      <c r="F81" s="3">
        <v>87</v>
      </c>
      <c r="G81" s="1">
        <f t="shared" si="4"/>
        <v>42</v>
      </c>
      <c r="H81" s="1" t="s">
        <v>43</v>
      </c>
      <c r="I81" t="str">
        <f t="shared" si="3"/>
        <v>-</v>
      </c>
      <c r="J81" t="s">
        <v>18</v>
      </c>
      <c r="K81" t="s">
        <v>16</v>
      </c>
    </row>
    <row r="82" spans="1:11">
      <c r="A82" s="6" t="s">
        <v>35</v>
      </c>
      <c r="B82" s="7">
        <v>1081</v>
      </c>
      <c r="C82">
        <v>6119</v>
      </c>
      <c r="D82" t="s">
        <v>30</v>
      </c>
      <c r="E82" s="3">
        <v>9</v>
      </c>
      <c r="F82" s="3">
        <v>14</v>
      </c>
      <c r="G82" s="1">
        <f t="shared" si="4"/>
        <v>5</v>
      </c>
      <c r="H82" s="1" t="s">
        <v>43</v>
      </c>
      <c r="I82" t="str">
        <f t="shared" si="3"/>
        <v>-</v>
      </c>
      <c r="J82" t="s">
        <v>18</v>
      </c>
      <c r="K82" t="s">
        <v>29</v>
      </c>
    </row>
    <row r="83" spans="1:11">
      <c r="A83" s="6" t="s">
        <v>35</v>
      </c>
      <c r="B83" s="7">
        <v>1082</v>
      </c>
      <c r="C83">
        <v>1109</v>
      </c>
      <c r="D83" t="s">
        <v>21</v>
      </c>
      <c r="E83" s="3">
        <v>3</v>
      </c>
      <c r="F83" s="3">
        <v>8</v>
      </c>
      <c r="G83" s="1">
        <f t="shared" si="4"/>
        <v>5</v>
      </c>
      <c r="H83" s="1" t="s">
        <v>43</v>
      </c>
      <c r="I83" t="str">
        <f t="shared" si="3"/>
        <v>-</v>
      </c>
      <c r="J83" t="s">
        <v>12</v>
      </c>
      <c r="K83" t="s">
        <v>16</v>
      </c>
    </row>
    <row r="84" spans="1:11">
      <c r="A84" s="6" t="s">
        <v>35</v>
      </c>
      <c r="B84" s="7">
        <v>1083</v>
      </c>
      <c r="C84">
        <v>1109</v>
      </c>
      <c r="D84" t="s">
        <v>21</v>
      </c>
      <c r="E84" s="3">
        <v>3</v>
      </c>
      <c r="F84" s="3">
        <v>8</v>
      </c>
      <c r="G84" s="1">
        <f t="shared" si="4"/>
        <v>5</v>
      </c>
      <c r="H84" s="1" t="s">
        <v>43</v>
      </c>
      <c r="I84" t="str">
        <f t="shared" si="3"/>
        <v>-</v>
      </c>
      <c r="J84" t="s">
        <v>12</v>
      </c>
      <c r="K84" t="s">
        <v>28</v>
      </c>
    </row>
    <row r="85" spans="1:11">
      <c r="A85" s="6" t="s">
        <v>35</v>
      </c>
      <c r="B85" s="7">
        <v>1084</v>
      </c>
      <c r="C85">
        <v>6119</v>
      </c>
      <c r="D85" t="s">
        <v>30</v>
      </c>
      <c r="E85" s="3">
        <v>9</v>
      </c>
      <c r="F85" s="3">
        <v>14</v>
      </c>
      <c r="G85" s="1">
        <f t="shared" si="4"/>
        <v>5</v>
      </c>
      <c r="H85" s="1" t="s">
        <v>43</v>
      </c>
      <c r="I85" t="str">
        <f t="shared" si="3"/>
        <v>-</v>
      </c>
      <c r="J85" t="s">
        <v>12</v>
      </c>
      <c r="K85" t="s">
        <v>19</v>
      </c>
    </row>
    <row r="86" spans="1:11">
      <c r="A86" s="6" t="s">
        <v>35</v>
      </c>
      <c r="B86" s="7">
        <v>1085</v>
      </c>
      <c r="C86">
        <v>9822</v>
      </c>
      <c r="D86" t="s">
        <v>11</v>
      </c>
      <c r="E86" s="3">
        <v>58.3</v>
      </c>
      <c r="F86" s="3">
        <v>98.4</v>
      </c>
      <c r="G86" s="1">
        <f t="shared" si="4"/>
        <v>40.1</v>
      </c>
      <c r="H86" s="1" t="s">
        <v>43</v>
      </c>
      <c r="I86" t="str">
        <f t="shared" si="3"/>
        <v>-</v>
      </c>
      <c r="J86" t="s">
        <v>18</v>
      </c>
      <c r="K86" t="s">
        <v>28</v>
      </c>
    </row>
    <row r="87" spans="1:11">
      <c r="A87" s="6" t="s">
        <v>35</v>
      </c>
      <c r="B87" s="7">
        <v>1086</v>
      </c>
      <c r="C87">
        <v>1109</v>
      </c>
      <c r="D87" t="s">
        <v>21</v>
      </c>
      <c r="E87" s="3">
        <v>3</v>
      </c>
      <c r="F87" s="3">
        <v>8</v>
      </c>
      <c r="G87" s="1">
        <f t="shared" si="4"/>
        <v>5</v>
      </c>
      <c r="H87" s="1" t="s">
        <v>43</v>
      </c>
      <c r="I87" t="str">
        <f t="shared" si="3"/>
        <v>-</v>
      </c>
      <c r="J87" t="s">
        <v>22</v>
      </c>
      <c r="K87" t="s">
        <v>19</v>
      </c>
    </row>
    <row r="88" spans="1:11">
      <c r="A88" s="6" t="s">
        <v>35</v>
      </c>
      <c r="B88" s="7">
        <v>1087</v>
      </c>
      <c r="C88">
        <v>2499</v>
      </c>
      <c r="D88" t="s">
        <v>17</v>
      </c>
      <c r="E88" s="3">
        <v>6.2</v>
      </c>
      <c r="F88" s="3">
        <v>9.1999999999999993</v>
      </c>
      <c r="G88" s="1">
        <f t="shared" si="4"/>
        <v>3</v>
      </c>
      <c r="H88" s="1" t="s">
        <v>43</v>
      </c>
      <c r="I88" t="str">
        <f t="shared" si="3"/>
        <v>-</v>
      </c>
      <c r="J88" t="s">
        <v>12</v>
      </c>
      <c r="K88" t="s">
        <v>16</v>
      </c>
    </row>
    <row r="89" spans="1:11">
      <c r="A89" s="6" t="s">
        <v>35</v>
      </c>
      <c r="B89" s="7">
        <v>1088</v>
      </c>
      <c r="C89">
        <v>2499</v>
      </c>
      <c r="D89" t="s">
        <v>17</v>
      </c>
      <c r="E89" s="3">
        <v>6.2</v>
      </c>
      <c r="F89" s="3">
        <v>9.1999999999999993</v>
      </c>
      <c r="G89" s="1">
        <f t="shared" si="4"/>
        <v>3</v>
      </c>
      <c r="H89" s="1" t="s">
        <v>43</v>
      </c>
      <c r="I89" t="str">
        <f t="shared" si="3"/>
        <v>-</v>
      </c>
      <c r="J89" t="s">
        <v>12</v>
      </c>
      <c r="K89" t="s">
        <v>13</v>
      </c>
    </row>
    <row r="90" spans="1:11">
      <c r="A90" s="6" t="s">
        <v>35</v>
      </c>
      <c r="B90" s="7">
        <v>1089</v>
      </c>
      <c r="C90">
        <v>6119</v>
      </c>
      <c r="D90" t="s">
        <v>30</v>
      </c>
      <c r="E90" s="3">
        <v>9</v>
      </c>
      <c r="F90" s="3">
        <v>14</v>
      </c>
      <c r="G90" s="1">
        <f t="shared" si="4"/>
        <v>5</v>
      </c>
      <c r="H90" s="1" t="s">
        <v>43</v>
      </c>
      <c r="I90" t="str">
        <f t="shared" si="3"/>
        <v>-</v>
      </c>
      <c r="J90" t="s">
        <v>18</v>
      </c>
      <c r="K90" t="s">
        <v>28</v>
      </c>
    </row>
    <row r="91" spans="1:11">
      <c r="A91" s="6" t="s">
        <v>35</v>
      </c>
      <c r="B91" s="7">
        <v>1090</v>
      </c>
      <c r="C91">
        <v>2877</v>
      </c>
      <c r="D91" t="s">
        <v>14</v>
      </c>
      <c r="E91" s="3">
        <v>11.4</v>
      </c>
      <c r="F91" s="3">
        <v>16.3</v>
      </c>
      <c r="G91" s="1">
        <f t="shared" si="4"/>
        <v>4.9000000000000004</v>
      </c>
      <c r="H91" s="1" t="s">
        <v>43</v>
      </c>
      <c r="I91" t="str">
        <f t="shared" si="3"/>
        <v>-</v>
      </c>
      <c r="J91" t="s">
        <v>12</v>
      </c>
      <c r="K91" t="s">
        <v>16</v>
      </c>
    </row>
    <row r="92" spans="1:11">
      <c r="A92" s="6" t="s">
        <v>35</v>
      </c>
      <c r="B92" s="7">
        <v>1091</v>
      </c>
      <c r="C92">
        <v>2877</v>
      </c>
      <c r="D92" t="s">
        <v>14</v>
      </c>
      <c r="E92" s="3">
        <v>11.4</v>
      </c>
      <c r="F92" s="3">
        <v>16.3</v>
      </c>
      <c r="G92" s="1">
        <f t="shared" si="4"/>
        <v>4.9000000000000004</v>
      </c>
      <c r="H92" s="1" t="s">
        <v>43</v>
      </c>
      <c r="I92" t="str">
        <f t="shared" si="3"/>
        <v>-</v>
      </c>
      <c r="J92" t="s">
        <v>22</v>
      </c>
      <c r="K92" t="s">
        <v>28</v>
      </c>
    </row>
    <row r="93" spans="1:11">
      <c r="A93" s="6" t="s">
        <v>35</v>
      </c>
      <c r="B93" s="7">
        <v>1092</v>
      </c>
      <c r="C93">
        <v>2877</v>
      </c>
      <c r="D93" t="s">
        <v>14</v>
      </c>
      <c r="E93" s="3">
        <v>11.4</v>
      </c>
      <c r="F93" s="3">
        <v>16.3</v>
      </c>
      <c r="G93" s="1">
        <f t="shared" si="4"/>
        <v>4.9000000000000004</v>
      </c>
      <c r="H93" s="1" t="s">
        <v>43</v>
      </c>
      <c r="I93" t="str">
        <f t="shared" si="3"/>
        <v>-</v>
      </c>
      <c r="J93" t="s">
        <v>18</v>
      </c>
      <c r="K93" t="s">
        <v>16</v>
      </c>
    </row>
    <row r="94" spans="1:11">
      <c r="A94" s="6" t="s">
        <v>35</v>
      </c>
      <c r="B94" s="7">
        <v>1093</v>
      </c>
      <c r="C94">
        <v>6119</v>
      </c>
      <c r="D94" t="s">
        <v>30</v>
      </c>
      <c r="E94" s="3">
        <v>9</v>
      </c>
      <c r="F94" s="3">
        <v>14</v>
      </c>
      <c r="G94" s="1">
        <f t="shared" si="4"/>
        <v>5</v>
      </c>
      <c r="H94" s="1" t="s">
        <v>43</v>
      </c>
      <c r="I94" t="str">
        <f t="shared" si="3"/>
        <v>-</v>
      </c>
      <c r="J94" t="s">
        <v>15</v>
      </c>
      <c r="K94" t="s">
        <v>19</v>
      </c>
    </row>
    <row r="95" spans="1:11">
      <c r="A95" s="6" t="s">
        <v>35</v>
      </c>
      <c r="B95" s="7">
        <v>1094</v>
      </c>
      <c r="C95">
        <v>6119</v>
      </c>
      <c r="D95" t="s">
        <v>30</v>
      </c>
      <c r="E95" s="3">
        <v>9</v>
      </c>
      <c r="F95" s="3">
        <v>14</v>
      </c>
      <c r="G95" s="1">
        <f t="shared" si="4"/>
        <v>5</v>
      </c>
      <c r="H95" s="1" t="s">
        <v>43</v>
      </c>
      <c r="I95" t="str">
        <f t="shared" si="3"/>
        <v>-</v>
      </c>
      <c r="J95" t="s">
        <v>18</v>
      </c>
      <c r="K95" t="s">
        <v>16</v>
      </c>
    </row>
    <row r="96" spans="1:11">
      <c r="A96" s="6" t="s">
        <v>35</v>
      </c>
      <c r="B96" s="7">
        <v>1095</v>
      </c>
      <c r="C96">
        <v>2499</v>
      </c>
      <c r="D96" t="s">
        <v>17</v>
      </c>
      <c r="E96" s="3">
        <v>6.2</v>
      </c>
      <c r="F96" s="3">
        <v>9.1999999999999993</v>
      </c>
      <c r="G96" s="1">
        <f t="shared" si="4"/>
        <v>3</v>
      </c>
      <c r="H96" s="1" t="s">
        <v>43</v>
      </c>
      <c r="I96" t="str">
        <f t="shared" si="3"/>
        <v>-</v>
      </c>
      <c r="J96" t="s">
        <v>22</v>
      </c>
      <c r="K96" t="s">
        <v>19</v>
      </c>
    </row>
    <row r="97" spans="1:11">
      <c r="A97" s="6" t="s">
        <v>35</v>
      </c>
      <c r="B97" s="7">
        <v>1096</v>
      </c>
      <c r="C97">
        <v>6119</v>
      </c>
      <c r="D97" t="s">
        <v>30</v>
      </c>
      <c r="E97" s="3">
        <v>9</v>
      </c>
      <c r="F97" s="3">
        <v>14</v>
      </c>
      <c r="G97" s="1">
        <f t="shared" si="4"/>
        <v>5</v>
      </c>
      <c r="H97" s="1" t="s">
        <v>43</v>
      </c>
      <c r="I97" t="str">
        <f t="shared" si="3"/>
        <v>-</v>
      </c>
      <c r="J97" t="s">
        <v>18</v>
      </c>
      <c r="K97" t="s">
        <v>19</v>
      </c>
    </row>
    <row r="98" spans="1:11">
      <c r="A98" s="6" t="s">
        <v>35</v>
      </c>
      <c r="B98" s="7">
        <v>1097</v>
      </c>
      <c r="C98">
        <v>9212</v>
      </c>
      <c r="D98" t="s">
        <v>25</v>
      </c>
      <c r="E98" s="3">
        <v>4</v>
      </c>
      <c r="F98" s="3">
        <v>7</v>
      </c>
      <c r="G98" s="1">
        <f t="shared" si="4"/>
        <v>3</v>
      </c>
      <c r="H98" s="1" t="s">
        <v>43</v>
      </c>
      <c r="I98" t="str">
        <f t="shared" ref="I98:I129" si="5">IF(G98&gt;=100,"Yes","-")</f>
        <v>-</v>
      </c>
      <c r="J98" t="s">
        <v>22</v>
      </c>
      <c r="K98" t="s">
        <v>28</v>
      </c>
    </row>
    <row r="99" spans="1:11">
      <c r="A99" s="6" t="s">
        <v>35</v>
      </c>
      <c r="B99" s="7">
        <v>1098</v>
      </c>
      <c r="C99">
        <v>2877</v>
      </c>
      <c r="D99" t="s">
        <v>14</v>
      </c>
      <c r="E99" s="3">
        <v>11.4</v>
      </c>
      <c r="F99" s="3">
        <v>16.3</v>
      </c>
      <c r="G99" s="1">
        <f t="shared" si="4"/>
        <v>4.9000000000000004</v>
      </c>
      <c r="H99" s="1" t="s">
        <v>43</v>
      </c>
      <c r="I99" t="str">
        <f t="shared" si="5"/>
        <v>-</v>
      </c>
      <c r="J99" t="s">
        <v>15</v>
      </c>
      <c r="K99" t="s">
        <v>13</v>
      </c>
    </row>
    <row r="100" spans="1:11">
      <c r="A100" s="6" t="s">
        <v>36</v>
      </c>
      <c r="B100" s="7">
        <v>1099</v>
      </c>
      <c r="C100">
        <v>2877</v>
      </c>
      <c r="D100" t="s">
        <v>14</v>
      </c>
      <c r="E100" s="3">
        <v>11.4</v>
      </c>
      <c r="F100" s="3">
        <v>16.3</v>
      </c>
      <c r="G100" s="1">
        <f t="shared" si="4"/>
        <v>4.9000000000000004</v>
      </c>
      <c r="H100" s="1" t="s">
        <v>43</v>
      </c>
      <c r="I100" t="str">
        <f t="shared" si="5"/>
        <v>-</v>
      </c>
      <c r="J100" t="s">
        <v>18</v>
      </c>
      <c r="K100" t="s">
        <v>16</v>
      </c>
    </row>
    <row r="101" spans="1:11">
      <c r="A101" s="6" t="s">
        <v>36</v>
      </c>
      <c r="B101" s="7">
        <v>1100</v>
      </c>
      <c r="C101">
        <v>6119</v>
      </c>
      <c r="D101" t="s">
        <v>30</v>
      </c>
      <c r="E101" s="3">
        <v>9</v>
      </c>
      <c r="F101" s="3">
        <v>14</v>
      </c>
      <c r="G101" s="1">
        <f t="shared" si="4"/>
        <v>5</v>
      </c>
      <c r="H101" s="1" t="s">
        <v>43</v>
      </c>
      <c r="I101" t="str">
        <f t="shared" si="5"/>
        <v>-</v>
      </c>
      <c r="J101" t="s">
        <v>12</v>
      </c>
      <c r="K101" t="s">
        <v>29</v>
      </c>
    </row>
    <row r="102" spans="1:11">
      <c r="A102" s="6" t="s">
        <v>36</v>
      </c>
      <c r="B102" s="7">
        <v>1101</v>
      </c>
      <c r="C102">
        <v>2499</v>
      </c>
      <c r="D102" t="s">
        <v>17</v>
      </c>
      <c r="E102" s="3">
        <v>6.2</v>
      </c>
      <c r="F102" s="3">
        <v>9.1999999999999993</v>
      </c>
      <c r="G102" s="1">
        <f t="shared" si="4"/>
        <v>3</v>
      </c>
      <c r="H102" s="1" t="s">
        <v>43</v>
      </c>
      <c r="I102" t="str">
        <f t="shared" si="5"/>
        <v>-</v>
      </c>
      <c r="J102" t="s">
        <v>18</v>
      </c>
      <c r="K102" t="s">
        <v>16</v>
      </c>
    </row>
    <row r="103" spans="1:11">
      <c r="A103" s="6" t="s">
        <v>36</v>
      </c>
      <c r="B103" s="7">
        <v>1102</v>
      </c>
      <c r="C103">
        <v>2242</v>
      </c>
      <c r="D103" t="s">
        <v>27</v>
      </c>
      <c r="E103" s="3">
        <v>60</v>
      </c>
      <c r="F103" s="3">
        <v>124</v>
      </c>
      <c r="G103" s="1">
        <f t="shared" si="4"/>
        <v>64</v>
      </c>
      <c r="H103" s="1" t="s">
        <v>43</v>
      </c>
      <c r="I103" t="str">
        <f t="shared" si="5"/>
        <v>-</v>
      </c>
      <c r="J103" t="s">
        <v>15</v>
      </c>
      <c r="K103" t="s">
        <v>28</v>
      </c>
    </row>
    <row r="104" spans="1:11">
      <c r="A104" s="6" t="s">
        <v>36</v>
      </c>
      <c r="B104" s="7">
        <v>1103</v>
      </c>
      <c r="C104">
        <v>2877</v>
      </c>
      <c r="D104" t="s">
        <v>14</v>
      </c>
      <c r="E104" s="3">
        <v>11.4</v>
      </c>
      <c r="F104" s="3">
        <v>16.3</v>
      </c>
      <c r="G104" s="1">
        <f t="shared" si="4"/>
        <v>4.9000000000000004</v>
      </c>
      <c r="H104" s="1" t="s">
        <v>43</v>
      </c>
      <c r="I104" t="str">
        <f t="shared" si="5"/>
        <v>-</v>
      </c>
      <c r="J104" t="s">
        <v>15</v>
      </c>
      <c r="K104" t="s">
        <v>19</v>
      </c>
    </row>
    <row r="105" spans="1:11">
      <c r="A105" s="6" t="s">
        <v>36</v>
      </c>
      <c r="B105" s="7">
        <v>1104</v>
      </c>
      <c r="C105">
        <v>2877</v>
      </c>
      <c r="D105" t="s">
        <v>14</v>
      </c>
      <c r="E105" s="3">
        <v>11.4</v>
      </c>
      <c r="F105" s="3">
        <v>16.3</v>
      </c>
      <c r="G105" s="1">
        <f t="shared" si="4"/>
        <v>4.9000000000000004</v>
      </c>
      <c r="H105" s="1" t="s">
        <v>43</v>
      </c>
      <c r="I105" t="str">
        <f t="shared" si="5"/>
        <v>-</v>
      </c>
      <c r="J105" t="s">
        <v>18</v>
      </c>
      <c r="K105" t="s">
        <v>28</v>
      </c>
    </row>
    <row r="106" spans="1:11">
      <c r="A106" s="6" t="s">
        <v>36</v>
      </c>
      <c r="B106" s="7">
        <v>1105</v>
      </c>
      <c r="C106">
        <v>2499</v>
      </c>
      <c r="D106" t="s">
        <v>17</v>
      </c>
      <c r="E106" s="3">
        <v>6.2</v>
      </c>
      <c r="F106" s="3">
        <v>9.1999999999999993</v>
      </c>
      <c r="G106" s="1">
        <f t="shared" si="4"/>
        <v>3</v>
      </c>
      <c r="H106" s="1" t="s">
        <v>43</v>
      </c>
      <c r="I106" t="str">
        <f t="shared" si="5"/>
        <v>-</v>
      </c>
      <c r="J106" t="s">
        <v>15</v>
      </c>
      <c r="K106" t="s">
        <v>19</v>
      </c>
    </row>
    <row r="107" spans="1:11">
      <c r="A107" s="6" t="s">
        <v>36</v>
      </c>
      <c r="B107" s="7">
        <v>1106</v>
      </c>
      <c r="C107">
        <v>9822</v>
      </c>
      <c r="D107" t="s">
        <v>11</v>
      </c>
      <c r="E107" s="3">
        <v>58.3</v>
      </c>
      <c r="F107" s="3">
        <v>98.4</v>
      </c>
      <c r="G107" s="1">
        <f t="shared" si="4"/>
        <v>40.1</v>
      </c>
      <c r="H107" s="1" t="s">
        <v>43</v>
      </c>
      <c r="I107" t="str">
        <f t="shared" si="5"/>
        <v>-</v>
      </c>
      <c r="J107" t="s">
        <v>15</v>
      </c>
      <c r="K107" t="s">
        <v>16</v>
      </c>
    </row>
    <row r="108" spans="1:11">
      <c r="A108" s="6" t="s">
        <v>36</v>
      </c>
      <c r="B108" s="7">
        <v>1107</v>
      </c>
      <c r="C108">
        <v>1109</v>
      </c>
      <c r="D108" t="s">
        <v>21</v>
      </c>
      <c r="E108" s="3">
        <v>3</v>
      </c>
      <c r="F108" s="3">
        <v>8</v>
      </c>
      <c r="G108" s="1">
        <f t="shared" si="4"/>
        <v>5</v>
      </c>
      <c r="H108" s="1" t="s">
        <v>43</v>
      </c>
      <c r="I108" t="str">
        <f t="shared" si="5"/>
        <v>-</v>
      </c>
      <c r="J108" t="s">
        <v>22</v>
      </c>
      <c r="K108" t="s">
        <v>13</v>
      </c>
    </row>
    <row r="109" spans="1:11">
      <c r="A109" s="6" t="s">
        <v>36</v>
      </c>
      <c r="B109" s="7">
        <v>1108</v>
      </c>
      <c r="C109">
        <v>9822</v>
      </c>
      <c r="D109" t="s">
        <v>11</v>
      </c>
      <c r="E109" s="3">
        <v>58.3</v>
      </c>
      <c r="F109" s="3">
        <v>98.4</v>
      </c>
      <c r="G109" s="1">
        <f t="shared" si="4"/>
        <v>40.1</v>
      </c>
      <c r="H109" s="1" t="s">
        <v>43</v>
      </c>
      <c r="I109" t="str">
        <f t="shared" si="5"/>
        <v>-</v>
      </c>
      <c r="J109" t="s">
        <v>18</v>
      </c>
      <c r="K109" t="s">
        <v>28</v>
      </c>
    </row>
    <row r="110" spans="1:11">
      <c r="A110" s="6" t="s">
        <v>36</v>
      </c>
      <c r="B110" s="7">
        <v>1109</v>
      </c>
      <c r="C110">
        <v>8722</v>
      </c>
      <c r="D110" t="s">
        <v>20</v>
      </c>
      <c r="E110" s="3">
        <v>344</v>
      </c>
      <c r="F110" s="3">
        <v>502</v>
      </c>
      <c r="G110" s="1">
        <f t="shared" si="4"/>
        <v>158</v>
      </c>
      <c r="H110" s="1" t="s">
        <v>44</v>
      </c>
      <c r="I110" t="str">
        <f t="shared" si="5"/>
        <v>Yes</v>
      </c>
      <c r="J110" t="s">
        <v>15</v>
      </c>
      <c r="K110" t="s">
        <v>16</v>
      </c>
    </row>
    <row r="111" spans="1:11">
      <c r="A111" s="6" t="s">
        <v>36</v>
      </c>
      <c r="B111" s="7">
        <v>1110</v>
      </c>
      <c r="C111">
        <v>8722</v>
      </c>
      <c r="D111" t="s">
        <v>20</v>
      </c>
      <c r="E111" s="3">
        <v>344</v>
      </c>
      <c r="F111" s="3">
        <v>502</v>
      </c>
      <c r="G111" s="1">
        <f t="shared" si="4"/>
        <v>158</v>
      </c>
      <c r="H111" s="1" t="s">
        <v>44</v>
      </c>
      <c r="I111" t="str">
        <f t="shared" si="5"/>
        <v>Yes</v>
      </c>
      <c r="J111" t="s">
        <v>22</v>
      </c>
      <c r="K111" t="s">
        <v>28</v>
      </c>
    </row>
    <row r="112" spans="1:11">
      <c r="A112" s="6" t="s">
        <v>36</v>
      </c>
      <c r="B112" s="7">
        <v>1111</v>
      </c>
      <c r="C112">
        <v>6622</v>
      </c>
      <c r="D112" t="s">
        <v>32</v>
      </c>
      <c r="E112" s="3">
        <v>42</v>
      </c>
      <c r="F112" s="3">
        <v>77</v>
      </c>
      <c r="G112" s="1">
        <f t="shared" si="4"/>
        <v>35</v>
      </c>
      <c r="H112" s="1" t="s">
        <v>43</v>
      </c>
      <c r="I112" t="str">
        <f t="shared" si="5"/>
        <v>-</v>
      </c>
      <c r="J112" t="s">
        <v>22</v>
      </c>
      <c r="K112" t="s">
        <v>16</v>
      </c>
    </row>
    <row r="113" spans="1:11">
      <c r="A113" s="6" t="s">
        <v>36</v>
      </c>
      <c r="B113" s="7">
        <v>1112</v>
      </c>
      <c r="C113">
        <v>6622</v>
      </c>
      <c r="D113" t="s">
        <v>32</v>
      </c>
      <c r="E113" s="3">
        <v>42</v>
      </c>
      <c r="F113" s="3">
        <v>77</v>
      </c>
      <c r="G113" s="1">
        <f t="shared" si="4"/>
        <v>35</v>
      </c>
      <c r="H113" s="1" t="s">
        <v>43</v>
      </c>
      <c r="I113" t="str">
        <f t="shared" si="5"/>
        <v>-</v>
      </c>
      <c r="J113" t="s">
        <v>18</v>
      </c>
      <c r="K113" t="s">
        <v>19</v>
      </c>
    </row>
    <row r="114" spans="1:11">
      <c r="A114" s="6" t="s">
        <v>36</v>
      </c>
      <c r="B114" s="7">
        <v>1113</v>
      </c>
      <c r="C114">
        <v>9822</v>
      </c>
      <c r="D114" t="s">
        <v>11</v>
      </c>
      <c r="E114" s="3">
        <v>58.3</v>
      </c>
      <c r="F114" s="3">
        <v>98.4</v>
      </c>
      <c r="G114" s="1">
        <f t="shared" si="4"/>
        <v>40.1</v>
      </c>
      <c r="H114" s="1" t="s">
        <v>43</v>
      </c>
      <c r="I114" t="str">
        <f t="shared" si="5"/>
        <v>-</v>
      </c>
      <c r="J114" t="s">
        <v>12</v>
      </c>
      <c r="K114" t="s">
        <v>16</v>
      </c>
    </row>
    <row r="115" spans="1:11">
      <c r="A115" s="6" t="s">
        <v>36</v>
      </c>
      <c r="B115" s="7">
        <v>1114</v>
      </c>
      <c r="C115">
        <v>2242</v>
      </c>
      <c r="D115" t="s">
        <v>27</v>
      </c>
      <c r="E115" s="3">
        <v>60</v>
      </c>
      <c r="F115" s="3">
        <v>124</v>
      </c>
      <c r="G115" s="1">
        <f t="shared" si="4"/>
        <v>64</v>
      </c>
      <c r="H115" s="1" t="s">
        <v>43</v>
      </c>
      <c r="I115" t="str">
        <f t="shared" si="5"/>
        <v>-</v>
      </c>
      <c r="J115" t="s">
        <v>15</v>
      </c>
      <c r="K115" t="s">
        <v>19</v>
      </c>
    </row>
    <row r="116" spans="1:11">
      <c r="A116" s="6" t="s">
        <v>36</v>
      </c>
      <c r="B116" s="7">
        <v>1115</v>
      </c>
      <c r="C116">
        <v>8722</v>
      </c>
      <c r="D116" t="s">
        <v>20</v>
      </c>
      <c r="E116" s="3">
        <v>344</v>
      </c>
      <c r="F116" s="3">
        <v>502</v>
      </c>
      <c r="G116" s="1">
        <f t="shared" si="4"/>
        <v>158</v>
      </c>
      <c r="H116" s="1" t="s">
        <v>44</v>
      </c>
      <c r="I116" t="str">
        <f t="shared" si="5"/>
        <v>Yes</v>
      </c>
      <c r="J116" t="s">
        <v>12</v>
      </c>
      <c r="K116" t="s">
        <v>19</v>
      </c>
    </row>
    <row r="117" spans="1:11">
      <c r="A117" s="6" t="s">
        <v>36</v>
      </c>
      <c r="B117" s="7">
        <v>1116</v>
      </c>
      <c r="C117">
        <v>6622</v>
      </c>
      <c r="D117" t="s">
        <v>32</v>
      </c>
      <c r="E117" s="3">
        <v>42</v>
      </c>
      <c r="F117" s="3">
        <v>77</v>
      </c>
      <c r="G117" s="1">
        <f t="shared" si="4"/>
        <v>35</v>
      </c>
      <c r="H117" s="1" t="s">
        <v>43</v>
      </c>
      <c r="I117" t="str">
        <f t="shared" si="5"/>
        <v>-</v>
      </c>
      <c r="J117" t="s">
        <v>18</v>
      </c>
      <c r="K117" t="s">
        <v>28</v>
      </c>
    </row>
    <row r="118" spans="1:11">
      <c r="A118" s="6" t="s">
        <v>36</v>
      </c>
      <c r="B118" s="7">
        <v>1117</v>
      </c>
      <c r="C118">
        <v>8722</v>
      </c>
      <c r="D118" t="s">
        <v>20</v>
      </c>
      <c r="E118" s="3">
        <v>344</v>
      </c>
      <c r="F118" s="3">
        <v>502</v>
      </c>
      <c r="G118" s="1">
        <f t="shared" si="4"/>
        <v>158</v>
      </c>
      <c r="H118" s="1" t="s">
        <v>44</v>
      </c>
      <c r="I118" t="str">
        <f t="shared" si="5"/>
        <v>Yes</v>
      </c>
      <c r="J118" t="s">
        <v>22</v>
      </c>
      <c r="K118" t="s">
        <v>13</v>
      </c>
    </row>
    <row r="119" spans="1:11">
      <c r="A119" s="6" t="s">
        <v>36</v>
      </c>
      <c r="B119" s="7">
        <v>1118</v>
      </c>
      <c r="C119">
        <v>9822</v>
      </c>
      <c r="D119" t="s">
        <v>11</v>
      </c>
      <c r="E119" s="3">
        <v>58.3</v>
      </c>
      <c r="F119" s="3">
        <v>98.4</v>
      </c>
      <c r="G119" s="1">
        <f t="shared" si="4"/>
        <v>40.1</v>
      </c>
      <c r="H119" s="1" t="s">
        <v>43</v>
      </c>
      <c r="I119" t="str">
        <f t="shared" si="5"/>
        <v>-</v>
      </c>
      <c r="J119" t="s">
        <v>15</v>
      </c>
      <c r="K119" t="s">
        <v>16</v>
      </c>
    </row>
    <row r="120" spans="1:11">
      <c r="A120" s="6" t="s">
        <v>36</v>
      </c>
      <c r="B120" s="7">
        <v>1119</v>
      </c>
      <c r="C120">
        <v>2242</v>
      </c>
      <c r="D120" t="s">
        <v>27</v>
      </c>
      <c r="E120" s="3">
        <v>60</v>
      </c>
      <c r="F120" s="3">
        <v>124</v>
      </c>
      <c r="G120" s="1">
        <f t="shared" si="4"/>
        <v>64</v>
      </c>
      <c r="H120" s="1" t="s">
        <v>43</v>
      </c>
      <c r="I120" t="str">
        <f t="shared" si="5"/>
        <v>-</v>
      </c>
      <c r="J120" t="s">
        <v>12</v>
      </c>
      <c r="K120" t="s">
        <v>29</v>
      </c>
    </row>
    <row r="121" spans="1:11">
      <c r="A121" s="6" t="s">
        <v>36</v>
      </c>
      <c r="B121" s="7">
        <v>1120</v>
      </c>
      <c r="C121">
        <v>2242</v>
      </c>
      <c r="D121" t="s">
        <v>27</v>
      </c>
      <c r="E121" s="3">
        <v>60</v>
      </c>
      <c r="F121" s="3">
        <v>124</v>
      </c>
      <c r="G121" s="1">
        <f t="shared" si="4"/>
        <v>64</v>
      </c>
      <c r="H121" s="1" t="s">
        <v>43</v>
      </c>
      <c r="I121" t="str">
        <f t="shared" si="5"/>
        <v>-</v>
      </c>
      <c r="J121" t="s">
        <v>18</v>
      </c>
      <c r="K121" t="s">
        <v>16</v>
      </c>
    </row>
    <row r="122" spans="1:11">
      <c r="A122" s="6" t="s">
        <v>36</v>
      </c>
      <c r="B122" s="7">
        <v>1121</v>
      </c>
      <c r="C122">
        <v>4421</v>
      </c>
      <c r="D122" t="s">
        <v>24</v>
      </c>
      <c r="E122" s="3">
        <v>45</v>
      </c>
      <c r="F122" s="3">
        <v>87</v>
      </c>
      <c r="G122" s="1">
        <f t="shared" si="4"/>
        <v>42</v>
      </c>
      <c r="H122" s="1" t="s">
        <v>43</v>
      </c>
      <c r="I122" t="str">
        <f t="shared" si="5"/>
        <v>-</v>
      </c>
      <c r="J122" t="s">
        <v>18</v>
      </c>
      <c r="K122" t="s">
        <v>28</v>
      </c>
    </row>
    <row r="123" spans="1:11">
      <c r="A123" s="6" t="s">
        <v>36</v>
      </c>
      <c r="B123" s="7">
        <v>1122</v>
      </c>
      <c r="C123">
        <v>8722</v>
      </c>
      <c r="D123" t="s">
        <v>20</v>
      </c>
      <c r="E123" s="3">
        <v>344</v>
      </c>
      <c r="F123" s="3">
        <v>502</v>
      </c>
      <c r="G123" s="1">
        <f t="shared" si="4"/>
        <v>158</v>
      </c>
      <c r="H123" s="1" t="s">
        <v>44</v>
      </c>
      <c r="I123" t="str">
        <f t="shared" si="5"/>
        <v>Yes</v>
      </c>
      <c r="J123" t="s">
        <v>18</v>
      </c>
      <c r="K123" t="s">
        <v>19</v>
      </c>
    </row>
    <row r="124" spans="1:11">
      <c r="A124" s="6" t="s">
        <v>36</v>
      </c>
      <c r="B124" s="7">
        <v>1123</v>
      </c>
      <c r="C124">
        <v>9822</v>
      </c>
      <c r="D124" t="s">
        <v>11</v>
      </c>
      <c r="E124" s="3">
        <v>58.3</v>
      </c>
      <c r="F124" s="3">
        <v>98.4</v>
      </c>
      <c r="G124" s="1">
        <f t="shared" si="4"/>
        <v>40.1</v>
      </c>
      <c r="H124" s="1" t="s">
        <v>43</v>
      </c>
      <c r="I124" t="str">
        <f t="shared" si="5"/>
        <v>-</v>
      </c>
      <c r="J124" t="s">
        <v>18</v>
      </c>
      <c r="K124" t="s">
        <v>28</v>
      </c>
    </row>
    <row r="125" spans="1:11">
      <c r="A125" s="6" t="s">
        <v>36</v>
      </c>
      <c r="B125" s="7">
        <v>1124</v>
      </c>
      <c r="C125">
        <v>4421</v>
      </c>
      <c r="D125" t="s">
        <v>24</v>
      </c>
      <c r="E125" s="3">
        <v>45</v>
      </c>
      <c r="F125" s="3">
        <v>87</v>
      </c>
      <c r="G125" s="1">
        <f t="shared" si="4"/>
        <v>42</v>
      </c>
      <c r="H125" s="1" t="s">
        <v>43</v>
      </c>
      <c r="I125" t="str">
        <f t="shared" si="5"/>
        <v>-</v>
      </c>
      <c r="J125" t="s">
        <v>18</v>
      </c>
      <c r="K125" t="s">
        <v>19</v>
      </c>
    </row>
    <row r="126" spans="1:11">
      <c r="A126" s="6" t="s">
        <v>37</v>
      </c>
      <c r="B126" s="7">
        <v>1125</v>
      </c>
      <c r="C126">
        <v>2242</v>
      </c>
      <c r="D126" t="s">
        <v>27</v>
      </c>
      <c r="E126" s="3">
        <v>60</v>
      </c>
      <c r="F126" s="3">
        <v>124</v>
      </c>
      <c r="G126" s="1">
        <f t="shared" si="4"/>
        <v>64</v>
      </c>
      <c r="H126" s="1" t="s">
        <v>43</v>
      </c>
      <c r="I126" t="str">
        <f t="shared" si="5"/>
        <v>-</v>
      </c>
      <c r="J126" t="s">
        <v>18</v>
      </c>
      <c r="K126" t="s">
        <v>16</v>
      </c>
    </row>
    <row r="127" spans="1:11">
      <c r="A127" s="6" t="s">
        <v>37</v>
      </c>
      <c r="B127" s="7">
        <v>1126</v>
      </c>
      <c r="C127">
        <v>9212</v>
      </c>
      <c r="D127" t="s">
        <v>25</v>
      </c>
      <c r="E127" s="3">
        <v>4</v>
      </c>
      <c r="F127" s="3">
        <v>7</v>
      </c>
      <c r="G127" s="1">
        <f t="shared" si="4"/>
        <v>3</v>
      </c>
      <c r="H127" s="1" t="s">
        <v>43</v>
      </c>
      <c r="I127" t="str">
        <f t="shared" si="5"/>
        <v>-</v>
      </c>
      <c r="J127" t="s">
        <v>18</v>
      </c>
      <c r="K127" t="s">
        <v>13</v>
      </c>
    </row>
    <row r="128" spans="1:11">
      <c r="A128" s="6" t="s">
        <v>37</v>
      </c>
      <c r="B128" s="7">
        <v>1127</v>
      </c>
      <c r="C128">
        <v>8722</v>
      </c>
      <c r="D128" t="s">
        <v>20</v>
      </c>
      <c r="E128" s="3">
        <v>344</v>
      </c>
      <c r="F128" s="3">
        <v>502</v>
      </c>
      <c r="G128" s="1">
        <f t="shared" si="4"/>
        <v>158</v>
      </c>
      <c r="H128" s="1" t="s">
        <v>44</v>
      </c>
      <c r="I128" t="str">
        <f t="shared" si="5"/>
        <v>Yes</v>
      </c>
      <c r="J128" t="s">
        <v>12</v>
      </c>
      <c r="K128" t="s">
        <v>28</v>
      </c>
    </row>
    <row r="129" spans="1:11">
      <c r="A129" s="6" t="s">
        <v>37</v>
      </c>
      <c r="B129" s="7">
        <v>1128</v>
      </c>
      <c r="C129">
        <v>6622</v>
      </c>
      <c r="D129" t="s">
        <v>32</v>
      </c>
      <c r="E129" s="3">
        <v>42</v>
      </c>
      <c r="F129" s="3">
        <v>77</v>
      </c>
      <c r="G129" s="1">
        <f t="shared" si="4"/>
        <v>35</v>
      </c>
      <c r="H129" s="1" t="s">
        <v>43</v>
      </c>
      <c r="I129" t="str">
        <f t="shared" si="5"/>
        <v>-</v>
      </c>
      <c r="J129" t="s">
        <v>15</v>
      </c>
      <c r="K129" t="s">
        <v>16</v>
      </c>
    </row>
    <row r="130" spans="1:11">
      <c r="A130" s="6" t="s">
        <v>37</v>
      </c>
      <c r="B130" s="7">
        <v>1129</v>
      </c>
      <c r="C130">
        <v>9822</v>
      </c>
      <c r="D130" t="s">
        <v>11</v>
      </c>
      <c r="E130" s="3">
        <v>58.3</v>
      </c>
      <c r="F130" s="3">
        <v>98.4</v>
      </c>
      <c r="G130" s="1">
        <f t="shared" si="4"/>
        <v>40.1</v>
      </c>
      <c r="H130" s="1" t="s">
        <v>43</v>
      </c>
      <c r="I130" t="str">
        <f t="shared" ref="I130:I161" si="6">IF(G130&gt;=100,"Yes","-")</f>
        <v>-</v>
      </c>
      <c r="J130" t="s">
        <v>22</v>
      </c>
      <c r="K130" t="s">
        <v>28</v>
      </c>
    </row>
    <row r="131" spans="1:11">
      <c r="A131" s="6" t="s">
        <v>37</v>
      </c>
      <c r="B131" s="7">
        <v>1130</v>
      </c>
      <c r="C131">
        <v>4421</v>
      </c>
      <c r="D131" t="s">
        <v>24</v>
      </c>
      <c r="E131" s="3">
        <v>45</v>
      </c>
      <c r="F131" s="3">
        <v>87</v>
      </c>
      <c r="G131" s="1">
        <f t="shared" ref="G131:G172" si="7">F131-E131</f>
        <v>42</v>
      </c>
      <c r="H131" s="1" t="s">
        <v>43</v>
      </c>
      <c r="I131" t="str">
        <f t="shared" si="6"/>
        <v>-</v>
      </c>
      <c r="J131" t="s">
        <v>22</v>
      </c>
      <c r="K131" t="s">
        <v>16</v>
      </c>
    </row>
    <row r="132" spans="1:11">
      <c r="A132" s="6" t="s">
        <v>37</v>
      </c>
      <c r="B132" s="7">
        <v>1131</v>
      </c>
      <c r="C132">
        <v>9212</v>
      </c>
      <c r="D132" t="s">
        <v>25</v>
      </c>
      <c r="E132" s="3">
        <v>4</v>
      </c>
      <c r="F132" s="3">
        <v>7</v>
      </c>
      <c r="G132" s="1">
        <f t="shared" si="7"/>
        <v>3</v>
      </c>
      <c r="H132" s="1" t="s">
        <v>43</v>
      </c>
      <c r="I132" t="str">
        <f t="shared" si="6"/>
        <v>-</v>
      </c>
      <c r="J132" t="s">
        <v>22</v>
      </c>
      <c r="K132" t="s">
        <v>19</v>
      </c>
    </row>
    <row r="133" spans="1:11">
      <c r="A133" s="6" t="s">
        <v>37</v>
      </c>
      <c r="B133" s="7">
        <v>1132</v>
      </c>
      <c r="C133">
        <v>9212</v>
      </c>
      <c r="D133" t="s">
        <v>25</v>
      </c>
      <c r="E133" s="3">
        <v>4</v>
      </c>
      <c r="F133" s="3">
        <v>7</v>
      </c>
      <c r="G133" s="1">
        <f t="shared" si="7"/>
        <v>3</v>
      </c>
      <c r="H133" s="1" t="s">
        <v>43</v>
      </c>
      <c r="I133" t="str">
        <f t="shared" si="6"/>
        <v>-</v>
      </c>
      <c r="J133" t="s">
        <v>22</v>
      </c>
      <c r="K133" t="s">
        <v>16</v>
      </c>
    </row>
    <row r="134" spans="1:11">
      <c r="A134" s="6" t="s">
        <v>37</v>
      </c>
      <c r="B134" s="7">
        <v>1133</v>
      </c>
      <c r="C134">
        <v>9822</v>
      </c>
      <c r="D134" t="s">
        <v>11</v>
      </c>
      <c r="E134" s="3">
        <v>58.3</v>
      </c>
      <c r="F134" s="3">
        <v>98.4</v>
      </c>
      <c r="G134" s="1">
        <f t="shared" si="7"/>
        <v>40.1</v>
      </c>
      <c r="H134" s="1" t="s">
        <v>43</v>
      </c>
      <c r="I134" t="str">
        <f t="shared" si="6"/>
        <v>-</v>
      </c>
      <c r="J134" t="s">
        <v>12</v>
      </c>
      <c r="K134" t="s">
        <v>19</v>
      </c>
    </row>
    <row r="135" spans="1:11">
      <c r="A135" s="6" t="s">
        <v>37</v>
      </c>
      <c r="B135" s="7">
        <v>1134</v>
      </c>
      <c r="C135">
        <v>9822</v>
      </c>
      <c r="D135" t="s">
        <v>11</v>
      </c>
      <c r="E135" s="3">
        <v>58.3</v>
      </c>
      <c r="F135" s="3">
        <v>98.4</v>
      </c>
      <c r="G135" s="1">
        <f t="shared" si="7"/>
        <v>40.1</v>
      </c>
      <c r="H135" s="1" t="s">
        <v>43</v>
      </c>
      <c r="I135" t="str">
        <f t="shared" si="6"/>
        <v>-</v>
      </c>
      <c r="J135" t="s">
        <v>18</v>
      </c>
      <c r="K135" t="s">
        <v>19</v>
      </c>
    </row>
    <row r="136" spans="1:11">
      <c r="A136" s="6" t="s">
        <v>37</v>
      </c>
      <c r="B136" s="7">
        <v>1135</v>
      </c>
      <c r="C136">
        <v>8722</v>
      </c>
      <c r="D136" t="s">
        <v>20</v>
      </c>
      <c r="E136" s="3">
        <v>344</v>
      </c>
      <c r="F136" s="3">
        <v>502</v>
      </c>
      <c r="G136" s="1">
        <f t="shared" si="7"/>
        <v>158</v>
      </c>
      <c r="H136" s="1" t="s">
        <v>44</v>
      </c>
      <c r="I136" t="str">
        <f t="shared" si="6"/>
        <v>Yes</v>
      </c>
      <c r="J136" t="s">
        <v>12</v>
      </c>
      <c r="K136" t="s">
        <v>28</v>
      </c>
    </row>
    <row r="137" spans="1:11">
      <c r="A137" s="6" t="s">
        <v>37</v>
      </c>
      <c r="B137" s="7">
        <v>1136</v>
      </c>
      <c r="C137">
        <v>2242</v>
      </c>
      <c r="D137" t="s">
        <v>27</v>
      </c>
      <c r="E137" s="3">
        <v>60</v>
      </c>
      <c r="F137" s="3">
        <v>124</v>
      </c>
      <c r="G137" s="1">
        <f t="shared" si="7"/>
        <v>64</v>
      </c>
      <c r="H137" s="1" t="s">
        <v>43</v>
      </c>
      <c r="I137" t="str">
        <f t="shared" si="6"/>
        <v>-</v>
      </c>
      <c r="J137" t="s">
        <v>18</v>
      </c>
      <c r="K137" t="s">
        <v>13</v>
      </c>
    </row>
    <row r="138" spans="1:11">
      <c r="A138" s="6" t="s">
        <v>37</v>
      </c>
      <c r="B138" s="7">
        <v>1137</v>
      </c>
      <c r="C138">
        <v>9822</v>
      </c>
      <c r="D138" t="s">
        <v>11</v>
      </c>
      <c r="E138" s="3">
        <v>58.3</v>
      </c>
      <c r="F138" s="3">
        <v>98.4</v>
      </c>
      <c r="G138" s="1">
        <f t="shared" si="7"/>
        <v>40.1</v>
      </c>
      <c r="H138" s="1" t="s">
        <v>43</v>
      </c>
      <c r="I138" t="str">
        <f t="shared" si="6"/>
        <v>-</v>
      </c>
      <c r="J138" t="s">
        <v>15</v>
      </c>
      <c r="K138" t="s">
        <v>16</v>
      </c>
    </row>
    <row r="139" spans="1:11">
      <c r="A139" s="6" t="s">
        <v>37</v>
      </c>
      <c r="B139" s="7">
        <v>1138</v>
      </c>
      <c r="C139">
        <v>8722</v>
      </c>
      <c r="D139" t="s">
        <v>20</v>
      </c>
      <c r="E139" s="3">
        <v>344</v>
      </c>
      <c r="F139" s="3">
        <v>502</v>
      </c>
      <c r="G139" s="1">
        <f t="shared" si="7"/>
        <v>158</v>
      </c>
      <c r="H139" s="1" t="s">
        <v>44</v>
      </c>
      <c r="I139" t="str">
        <f t="shared" si="6"/>
        <v>Yes</v>
      </c>
      <c r="J139" t="s">
        <v>12</v>
      </c>
      <c r="K139" t="s">
        <v>29</v>
      </c>
    </row>
    <row r="140" spans="1:11">
      <c r="A140" s="6" t="s">
        <v>37</v>
      </c>
      <c r="B140" s="7">
        <v>1139</v>
      </c>
      <c r="C140">
        <v>4421</v>
      </c>
      <c r="D140" t="s">
        <v>24</v>
      </c>
      <c r="E140" s="3">
        <v>45</v>
      </c>
      <c r="F140" s="3">
        <v>87</v>
      </c>
      <c r="G140" s="1">
        <f t="shared" si="7"/>
        <v>42</v>
      </c>
      <c r="H140" s="1" t="s">
        <v>43</v>
      </c>
      <c r="I140" t="str">
        <f t="shared" si="6"/>
        <v>-</v>
      </c>
      <c r="J140" t="s">
        <v>18</v>
      </c>
      <c r="K140" t="s">
        <v>16</v>
      </c>
    </row>
    <row r="141" spans="1:11">
      <c r="A141" s="6" t="s">
        <v>37</v>
      </c>
      <c r="B141" s="7">
        <v>1140</v>
      </c>
      <c r="C141">
        <v>4421</v>
      </c>
      <c r="D141" t="s">
        <v>24</v>
      </c>
      <c r="E141" s="3">
        <v>45</v>
      </c>
      <c r="F141" s="3">
        <v>87</v>
      </c>
      <c r="G141" s="1">
        <f t="shared" si="7"/>
        <v>42</v>
      </c>
      <c r="H141" s="1" t="s">
        <v>43</v>
      </c>
      <c r="I141" t="str">
        <f t="shared" si="6"/>
        <v>-</v>
      </c>
      <c r="J141" t="s">
        <v>15</v>
      </c>
      <c r="K141" t="s">
        <v>28</v>
      </c>
    </row>
    <row r="142" spans="1:11">
      <c r="A142" s="6" t="s">
        <v>37</v>
      </c>
      <c r="B142" s="7">
        <v>1141</v>
      </c>
      <c r="C142">
        <v>9212</v>
      </c>
      <c r="D142" t="s">
        <v>25</v>
      </c>
      <c r="E142" s="3">
        <v>4</v>
      </c>
      <c r="F142" s="3">
        <v>7</v>
      </c>
      <c r="G142" s="1">
        <f t="shared" si="7"/>
        <v>3</v>
      </c>
      <c r="H142" s="1" t="s">
        <v>43</v>
      </c>
      <c r="I142" t="str">
        <f t="shared" si="6"/>
        <v>-</v>
      </c>
      <c r="J142" t="s">
        <v>15</v>
      </c>
      <c r="K142" t="s">
        <v>19</v>
      </c>
    </row>
    <row r="143" spans="1:11">
      <c r="A143" s="6" t="s">
        <v>38</v>
      </c>
      <c r="B143" s="7">
        <v>1142</v>
      </c>
      <c r="C143">
        <v>2242</v>
      </c>
      <c r="D143" t="s">
        <v>27</v>
      </c>
      <c r="E143" s="3">
        <v>60</v>
      </c>
      <c r="F143" s="3">
        <v>124</v>
      </c>
      <c r="G143" s="1">
        <f t="shared" si="7"/>
        <v>64</v>
      </c>
      <c r="H143" s="1" t="s">
        <v>43</v>
      </c>
      <c r="I143" t="str">
        <f t="shared" si="6"/>
        <v>-</v>
      </c>
      <c r="J143" t="s">
        <v>15</v>
      </c>
      <c r="K143" t="s">
        <v>28</v>
      </c>
    </row>
    <row r="144" spans="1:11">
      <c r="A144" s="6" t="s">
        <v>38</v>
      </c>
      <c r="B144" s="7">
        <v>1143</v>
      </c>
      <c r="C144">
        <v>9822</v>
      </c>
      <c r="D144" t="s">
        <v>11</v>
      </c>
      <c r="E144" s="3">
        <v>58.3</v>
      </c>
      <c r="F144" s="3">
        <v>98.4</v>
      </c>
      <c r="G144" s="1">
        <f t="shared" si="7"/>
        <v>40.1</v>
      </c>
      <c r="H144" s="1" t="s">
        <v>43</v>
      </c>
      <c r="I144" t="str">
        <f t="shared" si="6"/>
        <v>-</v>
      </c>
      <c r="J144" t="s">
        <v>22</v>
      </c>
      <c r="K144" t="s">
        <v>19</v>
      </c>
    </row>
    <row r="145" spans="1:11">
      <c r="A145" s="6" t="s">
        <v>38</v>
      </c>
      <c r="B145" s="7">
        <v>1144</v>
      </c>
      <c r="C145">
        <v>2242</v>
      </c>
      <c r="D145" t="s">
        <v>27</v>
      </c>
      <c r="E145" s="3">
        <v>60</v>
      </c>
      <c r="F145" s="3">
        <v>124</v>
      </c>
      <c r="G145" s="1">
        <f t="shared" si="7"/>
        <v>64</v>
      </c>
      <c r="H145" s="1" t="s">
        <v>43</v>
      </c>
      <c r="I145" t="str">
        <f t="shared" si="6"/>
        <v>-</v>
      </c>
      <c r="J145" t="s">
        <v>22</v>
      </c>
      <c r="K145" t="s">
        <v>16</v>
      </c>
    </row>
    <row r="146" spans="1:11">
      <c r="A146" s="6" t="s">
        <v>38</v>
      </c>
      <c r="B146" s="7">
        <v>1145</v>
      </c>
      <c r="C146">
        <v>4421</v>
      </c>
      <c r="D146" t="s">
        <v>24</v>
      </c>
      <c r="E146" s="3">
        <v>45</v>
      </c>
      <c r="F146" s="3">
        <v>87</v>
      </c>
      <c r="G146" s="1">
        <f t="shared" si="7"/>
        <v>42</v>
      </c>
      <c r="H146" s="1" t="s">
        <v>43</v>
      </c>
      <c r="I146" t="str">
        <f t="shared" si="6"/>
        <v>-</v>
      </c>
      <c r="J146" t="s">
        <v>22</v>
      </c>
      <c r="K146" t="s">
        <v>13</v>
      </c>
    </row>
    <row r="147" spans="1:11">
      <c r="A147" s="6" t="s">
        <v>38</v>
      </c>
      <c r="B147" s="7">
        <v>1146</v>
      </c>
      <c r="C147">
        <v>8722</v>
      </c>
      <c r="D147" t="s">
        <v>20</v>
      </c>
      <c r="E147" s="3">
        <v>344</v>
      </c>
      <c r="F147" s="3">
        <v>502</v>
      </c>
      <c r="G147" s="1">
        <f t="shared" si="7"/>
        <v>158</v>
      </c>
      <c r="H147" s="1" t="s">
        <v>44</v>
      </c>
      <c r="I147" t="str">
        <f t="shared" si="6"/>
        <v>Yes</v>
      </c>
      <c r="J147" t="s">
        <v>22</v>
      </c>
      <c r="K147" t="s">
        <v>28</v>
      </c>
    </row>
    <row r="148" spans="1:11">
      <c r="A148" s="6" t="s">
        <v>38</v>
      </c>
      <c r="B148" s="7">
        <v>1147</v>
      </c>
      <c r="C148">
        <v>9822</v>
      </c>
      <c r="D148" t="s">
        <v>11</v>
      </c>
      <c r="E148" s="3">
        <v>58.3</v>
      </c>
      <c r="F148" s="3">
        <v>98.4</v>
      </c>
      <c r="G148" s="1">
        <f t="shared" si="7"/>
        <v>40.1</v>
      </c>
      <c r="H148" s="1" t="s">
        <v>43</v>
      </c>
      <c r="I148" t="str">
        <f t="shared" si="6"/>
        <v>-</v>
      </c>
      <c r="J148" t="s">
        <v>12</v>
      </c>
      <c r="K148" t="s">
        <v>16</v>
      </c>
    </row>
    <row r="149" spans="1:11">
      <c r="A149" s="6" t="s">
        <v>38</v>
      </c>
      <c r="B149" s="7">
        <v>1148</v>
      </c>
      <c r="C149">
        <v>9212</v>
      </c>
      <c r="D149" t="s">
        <v>25</v>
      </c>
      <c r="E149" s="3">
        <v>4</v>
      </c>
      <c r="F149" s="3">
        <v>7</v>
      </c>
      <c r="G149" s="1">
        <f t="shared" si="7"/>
        <v>3</v>
      </c>
      <c r="H149" s="1" t="s">
        <v>43</v>
      </c>
      <c r="I149" t="str">
        <f t="shared" si="6"/>
        <v>-</v>
      </c>
      <c r="J149" t="s">
        <v>18</v>
      </c>
      <c r="K149" t="s">
        <v>19</v>
      </c>
    </row>
    <row r="150" spans="1:11">
      <c r="A150" s="6" t="s">
        <v>38</v>
      </c>
      <c r="B150" s="7">
        <v>1149</v>
      </c>
      <c r="C150">
        <v>8722</v>
      </c>
      <c r="D150" t="s">
        <v>20</v>
      </c>
      <c r="E150" s="3">
        <v>344</v>
      </c>
      <c r="F150" s="3">
        <v>502</v>
      </c>
      <c r="G150" s="1">
        <f t="shared" si="7"/>
        <v>158</v>
      </c>
      <c r="H150" s="1" t="s">
        <v>44</v>
      </c>
      <c r="I150" t="str">
        <f t="shared" si="6"/>
        <v>Yes</v>
      </c>
      <c r="J150" t="s">
        <v>12</v>
      </c>
      <c r="K150" t="s">
        <v>19</v>
      </c>
    </row>
    <row r="151" spans="1:11">
      <c r="A151" s="6" t="s">
        <v>39</v>
      </c>
      <c r="B151" s="7">
        <v>1150</v>
      </c>
      <c r="C151">
        <v>2242</v>
      </c>
      <c r="D151" t="s">
        <v>27</v>
      </c>
      <c r="E151" s="3">
        <v>60</v>
      </c>
      <c r="F151" s="3">
        <v>124</v>
      </c>
      <c r="G151" s="1">
        <f t="shared" si="7"/>
        <v>64</v>
      </c>
      <c r="H151" s="1" t="s">
        <v>43</v>
      </c>
      <c r="I151" t="str">
        <f t="shared" si="6"/>
        <v>-</v>
      </c>
      <c r="J151" t="s">
        <v>18</v>
      </c>
      <c r="K151" t="s">
        <v>29</v>
      </c>
    </row>
    <row r="152" spans="1:11">
      <c r="A152" s="6" t="s">
        <v>39</v>
      </c>
      <c r="B152" s="7">
        <v>1151</v>
      </c>
      <c r="C152">
        <v>2242</v>
      </c>
      <c r="D152" t="s">
        <v>27</v>
      </c>
      <c r="E152" s="3">
        <v>60</v>
      </c>
      <c r="F152" s="3">
        <v>124</v>
      </c>
      <c r="G152" s="1">
        <f t="shared" si="7"/>
        <v>64</v>
      </c>
      <c r="H152" s="1" t="s">
        <v>43</v>
      </c>
      <c r="I152" t="str">
        <f t="shared" si="6"/>
        <v>-</v>
      </c>
      <c r="J152" t="s">
        <v>15</v>
      </c>
      <c r="K152" t="s">
        <v>16</v>
      </c>
    </row>
    <row r="153" spans="1:11">
      <c r="A153" s="6" t="s">
        <v>39</v>
      </c>
      <c r="B153" s="7">
        <v>1152</v>
      </c>
      <c r="C153">
        <v>4421</v>
      </c>
      <c r="D153" t="s">
        <v>24</v>
      </c>
      <c r="E153" s="3">
        <v>45</v>
      </c>
      <c r="F153" s="3">
        <v>87</v>
      </c>
      <c r="G153" s="1">
        <f t="shared" si="7"/>
        <v>42</v>
      </c>
      <c r="H153" s="1" t="s">
        <v>43</v>
      </c>
      <c r="I153" t="str">
        <f t="shared" si="6"/>
        <v>-</v>
      </c>
      <c r="J153" t="s">
        <v>12</v>
      </c>
      <c r="K153" t="s">
        <v>28</v>
      </c>
    </row>
    <row r="154" spans="1:11">
      <c r="A154" s="6" t="s">
        <v>39</v>
      </c>
      <c r="B154" s="7">
        <v>1153</v>
      </c>
      <c r="C154">
        <v>8722</v>
      </c>
      <c r="D154" t="s">
        <v>20</v>
      </c>
      <c r="E154" s="3">
        <v>344</v>
      </c>
      <c r="F154" s="3">
        <v>502</v>
      </c>
      <c r="G154" s="1">
        <f t="shared" si="7"/>
        <v>158</v>
      </c>
      <c r="H154" s="1" t="s">
        <v>44</v>
      </c>
      <c r="I154" t="str">
        <f t="shared" si="6"/>
        <v>Yes</v>
      </c>
      <c r="J154" t="s">
        <v>18</v>
      </c>
      <c r="K154" t="s">
        <v>19</v>
      </c>
    </row>
    <row r="155" spans="1:11">
      <c r="A155" s="6" t="s">
        <v>39</v>
      </c>
      <c r="B155" s="7">
        <v>1154</v>
      </c>
      <c r="C155">
        <v>9822</v>
      </c>
      <c r="D155" t="s">
        <v>11</v>
      </c>
      <c r="E155" s="3">
        <v>58.3</v>
      </c>
      <c r="F155" s="3">
        <v>98.4</v>
      </c>
      <c r="G155" s="1">
        <f t="shared" si="7"/>
        <v>40.1</v>
      </c>
      <c r="H155" s="1" t="s">
        <v>43</v>
      </c>
      <c r="I155" t="str">
        <f t="shared" si="6"/>
        <v>-</v>
      </c>
      <c r="J155" t="s">
        <v>15</v>
      </c>
      <c r="K155" t="s">
        <v>28</v>
      </c>
    </row>
    <row r="156" spans="1:11">
      <c r="A156" s="6" t="s">
        <v>39</v>
      </c>
      <c r="B156" s="7">
        <v>1155</v>
      </c>
      <c r="C156">
        <v>4421</v>
      </c>
      <c r="D156" t="s">
        <v>24</v>
      </c>
      <c r="E156" s="3">
        <v>45</v>
      </c>
      <c r="F156" s="3">
        <v>87</v>
      </c>
      <c r="G156" s="1">
        <f t="shared" si="7"/>
        <v>42</v>
      </c>
      <c r="H156" s="1" t="s">
        <v>43</v>
      </c>
      <c r="I156" t="str">
        <f t="shared" si="6"/>
        <v>-</v>
      </c>
      <c r="J156" t="s">
        <v>18</v>
      </c>
      <c r="K156" t="s">
        <v>19</v>
      </c>
    </row>
    <row r="157" spans="1:11">
      <c r="A157" s="6" t="s">
        <v>39</v>
      </c>
      <c r="B157" s="7">
        <v>1156</v>
      </c>
      <c r="C157">
        <v>2242</v>
      </c>
      <c r="D157" t="s">
        <v>27</v>
      </c>
      <c r="E157" s="3">
        <v>60</v>
      </c>
      <c r="F157" s="3">
        <v>124</v>
      </c>
      <c r="G157" s="1">
        <f t="shared" si="7"/>
        <v>64</v>
      </c>
      <c r="H157" s="1" t="s">
        <v>43</v>
      </c>
      <c r="I157" t="str">
        <f t="shared" si="6"/>
        <v>-</v>
      </c>
      <c r="J157" t="s">
        <v>18</v>
      </c>
      <c r="K157" t="s">
        <v>16</v>
      </c>
    </row>
    <row r="158" spans="1:11">
      <c r="A158" s="6" t="s">
        <v>39</v>
      </c>
      <c r="B158" s="7">
        <v>1157</v>
      </c>
      <c r="C158">
        <v>9212</v>
      </c>
      <c r="D158" t="s">
        <v>25</v>
      </c>
      <c r="E158" s="3">
        <v>4</v>
      </c>
      <c r="F158" s="3">
        <v>7</v>
      </c>
      <c r="G158" s="1">
        <f t="shared" si="7"/>
        <v>3</v>
      </c>
      <c r="H158" s="1" t="s">
        <v>43</v>
      </c>
      <c r="I158" t="str">
        <f t="shared" si="6"/>
        <v>-</v>
      </c>
      <c r="J158" t="s">
        <v>18</v>
      </c>
      <c r="K158" t="s">
        <v>13</v>
      </c>
    </row>
    <row r="159" spans="1:11">
      <c r="A159" s="6" t="s">
        <v>40</v>
      </c>
      <c r="B159" s="7">
        <v>1158</v>
      </c>
      <c r="C159">
        <v>8722</v>
      </c>
      <c r="D159" t="s">
        <v>20</v>
      </c>
      <c r="E159" s="3">
        <v>344</v>
      </c>
      <c r="F159" s="3">
        <v>502</v>
      </c>
      <c r="G159" s="1">
        <f t="shared" si="7"/>
        <v>158</v>
      </c>
      <c r="H159" s="1" t="s">
        <v>44</v>
      </c>
      <c r="I159" t="str">
        <f t="shared" si="6"/>
        <v>Yes</v>
      </c>
      <c r="J159" t="s">
        <v>12</v>
      </c>
      <c r="K159" t="s">
        <v>28</v>
      </c>
    </row>
    <row r="160" spans="1:11">
      <c r="A160" s="6" t="s">
        <v>40</v>
      </c>
      <c r="B160" s="7">
        <v>1159</v>
      </c>
      <c r="C160">
        <v>6622</v>
      </c>
      <c r="D160" t="s">
        <v>32</v>
      </c>
      <c r="E160" s="3">
        <v>42</v>
      </c>
      <c r="F160" s="3">
        <v>77</v>
      </c>
      <c r="G160" s="1">
        <f t="shared" si="7"/>
        <v>35</v>
      </c>
      <c r="H160" s="1" t="s">
        <v>43</v>
      </c>
      <c r="I160" t="str">
        <f t="shared" si="6"/>
        <v>-</v>
      </c>
      <c r="J160" t="s">
        <v>18</v>
      </c>
      <c r="K160" t="s">
        <v>16</v>
      </c>
    </row>
    <row r="161" spans="1:11">
      <c r="A161" s="6" t="s">
        <v>40</v>
      </c>
      <c r="B161" s="7">
        <v>1160</v>
      </c>
      <c r="C161">
        <v>9822</v>
      </c>
      <c r="D161" t="s">
        <v>11</v>
      </c>
      <c r="E161" s="3">
        <v>58.3</v>
      </c>
      <c r="F161" s="3">
        <v>98.4</v>
      </c>
      <c r="G161" s="1">
        <f t="shared" si="7"/>
        <v>40.1</v>
      </c>
      <c r="H161" s="1" t="s">
        <v>43</v>
      </c>
      <c r="I161" t="str">
        <f t="shared" si="6"/>
        <v>-</v>
      </c>
      <c r="J161" t="s">
        <v>22</v>
      </c>
      <c r="K161" t="s">
        <v>28</v>
      </c>
    </row>
    <row r="162" spans="1:11">
      <c r="A162" s="6" t="s">
        <v>40</v>
      </c>
      <c r="B162" s="7">
        <v>1161</v>
      </c>
      <c r="C162">
        <v>4421</v>
      </c>
      <c r="D162" t="s">
        <v>24</v>
      </c>
      <c r="E162" s="3">
        <v>45</v>
      </c>
      <c r="F162" s="3">
        <v>87</v>
      </c>
      <c r="G162" s="1">
        <f t="shared" si="7"/>
        <v>42</v>
      </c>
      <c r="H162" s="1" t="s">
        <v>43</v>
      </c>
      <c r="I162" t="str">
        <f t="shared" ref="I162:I172" si="8">IF(G162&gt;=100,"Yes","-")</f>
        <v>-</v>
      </c>
      <c r="J162" t="s">
        <v>15</v>
      </c>
      <c r="K162" t="s">
        <v>16</v>
      </c>
    </row>
    <row r="163" spans="1:11">
      <c r="A163" s="6" t="s">
        <v>40</v>
      </c>
      <c r="B163" s="7">
        <v>1162</v>
      </c>
      <c r="C163">
        <v>9212</v>
      </c>
      <c r="D163" t="s">
        <v>25</v>
      </c>
      <c r="E163" s="3">
        <v>4</v>
      </c>
      <c r="F163" s="3">
        <v>7</v>
      </c>
      <c r="G163" s="1">
        <f t="shared" si="7"/>
        <v>3</v>
      </c>
      <c r="H163" s="1" t="s">
        <v>43</v>
      </c>
      <c r="I163" t="str">
        <f t="shared" si="8"/>
        <v>-</v>
      </c>
      <c r="J163" t="s">
        <v>12</v>
      </c>
      <c r="K163" t="s">
        <v>19</v>
      </c>
    </row>
    <row r="164" spans="1:11">
      <c r="A164" s="6" t="s">
        <v>40</v>
      </c>
      <c r="B164" s="7">
        <v>1163</v>
      </c>
      <c r="C164">
        <v>9212</v>
      </c>
      <c r="D164" t="s">
        <v>25</v>
      </c>
      <c r="E164" s="3">
        <v>4</v>
      </c>
      <c r="F164" s="3">
        <v>7</v>
      </c>
      <c r="G164" s="1">
        <f t="shared" si="7"/>
        <v>3</v>
      </c>
      <c r="H164" s="1" t="s">
        <v>43</v>
      </c>
      <c r="I164" t="str">
        <f t="shared" si="8"/>
        <v>-</v>
      </c>
      <c r="J164" t="s">
        <v>18</v>
      </c>
      <c r="K164" t="s">
        <v>16</v>
      </c>
    </row>
    <row r="165" spans="1:11">
      <c r="A165" s="6" t="s">
        <v>40</v>
      </c>
      <c r="B165" s="7">
        <v>1164</v>
      </c>
      <c r="C165">
        <v>9822</v>
      </c>
      <c r="D165" t="s">
        <v>11</v>
      </c>
      <c r="E165" s="3">
        <v>58.3</v>
      </c>
      <c r="F165" s="3">
        <v>98.4</v>
      </c>
      <c r="G165" s="1">
        <f t="shared" si="7"/>
        <v>40.1</v>
      </c>
      <c r="H165" s="1" t="s">
        <v>43</v>
      </c>
      <c r="I165" t="str">
        <f t="shared" si="8"/>
        <v>-</v>
      </c>
      <c r="J165" t="s">
        <v>18</v>
      </c>
      <c r="K165" t="s">
        <v>19</v>
      </c>
    </row>
    <row r="166" spans="1:11">
      <c r="A166" s="6" t="s">
        <v>40</v>
      </c>
      <c r="B166" s="7">
        <v>1165</v>
      </c>
      <c r="C166">
        <v>9822</v>
      </c>
      <c r="D166" t="s">
        <v>11</v>
      </c>
      <c r="E166" s="3">
        <v>58.3</v>
      </c>
      <c r="F166" s="3">
        <v>98.4</v>
      </c>
      <c r="G166" s="1">
        <f t="shared" si="7"/>
        <v>40.1</v>
      </c>
      <c r="H166" s="1" t="s">
        <v>43</v>
      </c>
      <c r="I166" t="str">
        <f t="shared" si="8"/>
        <v>-</v>
      </c>
      <c r="J166" t="s">
        <v>18</v>
      </c>
      <c r="K166" t="s">
        <v>19</v>
      </c>
    </row>
    <row r="167" spans="1:11">
      <c r="A167" s="6" t="s">
        <v>40</v>
      </c>
      <c r="B167" s="7">
        <v>1166</v>
      </c>
      <c r="C167">
        <v>8722</v>
      </c>
      <c r="D167" t="s">
        <v>20</v>
      </c>
      <c r="E167" s="3">
        <v>344</v>
      </c>
      <c r="F167" s="3">
        <v>502</v>
      </c>
      <c r="G167" s="1">
        <f t="shared" si="7"/>
        <v>158</v>
      </c>
      <c r="H167" s="1" t="s">
        <v>44</v>
      </c>
      <c r="I167" t="str">
        <f t="shared" si="8"/>
        <v>Yes</v>
      </c>
      <c r="J167" t="s">
        <v>18</v>
      </c>
      <c r="K167" t="s">
        <v>28</v>
      </c>
    </row>
    <row r="168" spans="1:11">
      <c r="A168" s="6" t="s">
        <v>41</v>
      </c>
      <c r="B168" s="7">
        <v>1167</v>
      </c>
      <c r="C168">
        <v>2242</v>
      </c>
      <c r="D168" t="s">
        <v>27</v>
      </c>
      <c r="E168" s="3">
        <v>60</v>
      </c>
      <c r="F168" s="3">
        <v>124</v>
      </c>
      <c r="G168" s="1">
        <f t="shared" si="7"/>
        <v>64</v>
      </c>
      <c r="H168" s="1" t="s">
        <v>43</v>
      </c>
      <c r="I168" t="str">
        <f t="shared" si="8"/>
        <v>-</v>
      </c>
      <c r="J168" t="s">
        <v>18</v>
      </c>
      <c r="K168" t="s">
        <v>13</v>
      </c>
    </row>
    <row r="169" spans="1:11">
      <c r="A169" s="6" t="s">
        <v>41</v>
      </c>
      <c r="B169" s="7">
        <v>1168</v>
      </c>
      <c r="C169">
        <v>9822</v>
      </c>
      <c r="D169" t="s">
        <v>11</v>
      </c>
      <c r="E169" s="3">
        <v>58.3</v>
      </c>
      <c r="F169" s="3">
        <v>98.4</v>
      </c>
      <c r="G169" s="1">
        <f t="shared" si="7"/>
        <v>40.1</v>
      </c>
      <c r="H169" s="1" t="s">
        <v>43</v>
      </c>
      <c r="I169" t="str">
        <f t="shared" si="8"/>
        <v>-</v>
      </c>
      <c r="J169" t="s">
        <v>18</v>
      </c>
      <c r="K169" t="s">
        <v>16</v>
      </c>
    </row>
    <row r="170" spans="1:11">
      <c r="A170" s="6" t="s">
        <v>41</v>
      </c>
      <c r="B170" s="7">
        <v>1169</v>
      </c>
      <c r="C170">
        <v>8722</v>
      </c>
      <c r="D170" t="s">
        <v>20</v>
      </c>
      <c r="E170" s="3">
        <v>344</v>
      </c>
      <c r="F170" s="3">
        <v>502</v>
      </c>
      <c r="G170" s="1">
        <f t="shared" si="7"/>
        <v>158</v>
      </c>
      <c r="H170" s="1" t="s">
        <v>44</v>
      </c>
      <c r="I170" t="str">
        <f t="shared" si="8"/>
        <v>Yes</v>
      </c>
      <c r="J170" t="s">
        <v>18</v>
      </c>
      <c r="K170" t="s">
        <v>29</v>
      </c>
    </row>
    <row r="171" spans="1:11">
      <c r="A171" s="6" t="s">
        <v>41</v>
      </c>
      <c r="B171" s="7">
        <v>1170</v>
      </c>
      <c r="C171">
        <v>4421</v>
      </c>
      <c r="D171" t="s">
        <v>24</v>
      </c>
      <c r="E171" s="3">
        <v>45</v>
      </c>
      <c r="F171" s="3">
        <v>87</v>
      </c>
      <c r="G171" s="1">
        <f t="shared" si="7"/>
        <v>42</v>
      </c>
      <c r="H171" s="1" t="s">
        <v>43</v>
      </c>
      <c r="I171" t="str">
        <f t="shared" si="8"/>
        <v>-</v>
      </c>
      <c r="J171" t="s">
        <v>12</v>
      </c>
      <c r="K171" t="s">
        <v>16</v>
      </c>
    </row>
    <row r="172" spans="1:11">
      <c r="A172" s="6" t="s">
        <v>41</v>
      </c>
      <c r="B172" s="7">
        <v>1171</v>
      </c>
      <c r="C172">
        <v>4421</v>
      </c>
      <c r="D172" t="s">
        <v>24</v>
      </c>
      <c r="E172" s="3">
        <v>45</v>
      </c>
      <c r="F172" s="3">
        <v>87</v>
      </c>
      <c r="G172" s="1">
        <f t="shared" si="7"/>
        <v>42</v>
      </c>
      <c r="H172" s="1" t="s">
        <v>43</v>
      </c>
      <c r="I172" t="str">
        <f t="shared" si="8"/>
        <v>-</v>
      </c>
      <c r="J172" t="s">
        <v>15</v>
      </c>
      <c r="K172" t="s">
        <v>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22"/>
  <sheetViews>
    <sheetView zoomScale="90" zoomScaleNormal="90" workbookViewId="0">
      <selection activeCell="G5" sqref="G5"/>
    </sheetView>
  </sheetViews>
  <sheetFormatPr defaultColWidth="9" defaultRowHeight="15.75"/>
  <cols>
    <col min="2" max="2" width="13.625" bestFit="1" customWidth="1"/>
    <col min="3" max="6" width="13.75" bestFit="1" customWidth="1"/>
    <col min="7" max="7" width="10.375" bestFit="1" customWidth="1"/>
    <col min="8" max="8" width="9.875" customWidth="1"/>
    <col min="9" max="9" width="18" customWidth="1"/>
    <col min="10" max="10" width="13.125" customWidth="1"/>
    <col min="11" max="11" width="5.25" customWidth="1"/>
    <col min="12" max="12" width="5.875" customWidth="1"/>
    <col min="13" max="13" width="6.5" customWidth="1"/>
    <col min="14" max="14" width="5.25" customWidth="1"/>
    <col min="15" max="15" width="5.375" customWidth="1"/>
    <col min="16" max="17" width="6" customWidth="1"/>
    <col min="18" max="18" width="5.875" customWidth="1"/>
    <col min="19" max="19" width="5.75" customWidth="1"/>
    <col min="20" max="20" width="13.125" bestFit="1" customWidth="1"/>
    <col min="21" max="21" width="11" bestFit="1" customWidth="1"/>
    <col min="22" max="32" width="26.375" bestFit="1" customWidth="1"/>
    <col min="33" max="33" width="31.375" bestFit="1" customWidth="1"/>
    <col min="34" max="34" width="17.375" bestFit="1" customWidth="1"/>
  </cols>
  <sheetData>
    <row r="1" spans="2:22">
      <c r="I1" s="10" t="s">
        <v>8</v>
      </c>
      <c r="J1" t="s">
        <v>12</v>
      </c>
    </row>
    <row r="2" spans="2:22">
      <c r="B2" t="s">
        <v>45</v>
      </c>
      <c r="C2" t="s">
        <v>46</v>
      </c>
      <c r="D2" t="s">
        <v>47</v>
      </c>
    </row>
    <row r="3" spans="2:22">
      <c r="B3" s="1">
        <v>10753.9</v>
      </c>
      <c r="C3" s="1">
        <v>17110.599999999999</v>
      </c>
      <c r="D3" s="1">
        <v>6356.7</v>
      </c>
      <c r="I3" s="10" t="s">
        <v>47</v>
      </c>
      <c r="J3" s="10" t="s">
        <v>0</v>
      </c>
    </row>
    <row r="4" spans="2:22">
      <c r="B4" s="1"/>
      <c r="C4" s="1"/>
      <c r="D4" s="1"/>
      <c r="I4" s="10" t="s">
        <v>3</v>
      </c>
      <c r="J4" s="2" t="s">
        <v>10</v>
      </c>
      <c r="K4" s="2" t="s">
        <v>26</v>
      </c>
      <c r="L4" s="2" t="s">
        <v>33</v>
      </c>
      <c r="M4" s="2" t="s">
        <v>35</v>
      </c>
      <c r="N4" s="2" t="s">
        <v>36</v>
      </c>
      <c r="O4" s="2" t="s">
        <v>31</v>
      </c>
      <c r="P4" s="2" t="s">
        <v>34</v>
      </c>
      <c r="Q4" s="2" t="s">
        <v>37</v>
      </c>
      <c r="R4" s="2" t="s">
        <v>39</v>
      </c>
      <c r="S4" s="2" t="s">
        <v>40</v>
      </c>
      <c r="T4" s="2" t="s">
        <v>41</v>
      </c>
      <c r="U4" s="2" t="s">
        <v>38</v>
      </c>
      <c r="V4" s="2" t="s">
        <v>49</v>
      </c>
    </row>
    <row r="5" spans="2:22">
      <c r="I5" t="s">
        <v>11</v>
      </c>
      <c r="J5" s="12">
        <v>40.1</v>
      </c>
      <c r="K5" s="12"/>
      <c r="L5" s="12"/>
      <c r="M5" s="12"/>
      <c r="N5" s="12">
        <v>40.1</v>
      </c>
      <c r="O5" s="12"/>
      <c r="P5" s="12"/>
      <c r="Q5" s="12">
        <v>40.1</v>
      </c>
      <c r="R5" s="12"/>
      <c r="S5" s="12"/>
      <c r="T5" s="12"/>
      <c r="U5" s="12">
        <v>40.1</v>
      </c>
      <c r="V5" s="11">
        <v>160.4</v>
      </c>
    </row>
    <row r="6" spans="2:22">
      <c r="B6" s="10" t="s">
        <v>8</v>
      </c>
      <c r="C6" t="s">
        <v>48</v>
      </c>
      <c r="D6" t="s">
        <v>47</v>
      </c>
      <c r="I6" t="s">
        <v>14</v>
      </c>
      <c r="J6" s="12"/>
      <c r="K6" s="12">
        <v>4.9000000000000004</v>
      </c>
      <c r="L6" s="12">
        <v>4.9000000000000004</v>
      </c>
      <c r="M6" s="12">
        <v>4.9000000000000004</v>
      </c>
      <c r="N6" s="12"/>
      <c r="O6" s="12"/>
      <c r="P6" s="12"/>
      <c r="Q6" s="12"/>
      <c r="R6" s="12"/>
      <c r="S6" s="12"/>
      <c r="T6" s="12"/>
      <c r="U6" s="12"/>
      <c r="V6" s="11">
        <v>14.700000000000001</v>
      </c>
    </row>
    <row r="7" spans="2:22">
      <c r="B7" t="s">
        <v>12</v>
      </c>
      <c r="C7">
        <v>33</v>
      </c>
      <c r="D7" s="1">
        <v>2015.1</v>
      </c>
      <c r="I7" t="s">
        <v>17</v>
      </c>
      <c r="J7" s="12"/>
      <c r="K7" s="12"/>
      <c r="L7" s="12">
        <v>3</v>
      </c>
      <c r="M7" s="12">
        <v>6</v>
      </c>
      <c r="N7" s="12"/>
      <c r="O7" s="12">
        <v>3</v>
      </c>
      <c r="P7" s="12">
        <v>3</v>
      </c>
      <c r="Q7" s="12"/>
      <c r="R7" s="12"/>
      <c r="S7" s="12"/>
      <c r="T7" s="12"/>
      <c r="U7" s="12"/>
      <c r="V7" s="11">
        <v>15</v>
      </c>
    </row>
    <row r="8" spans="2:22">
      <c r="B8" t="s">
        <v>15</v>
      </c>
      <c r="C8">
        <v>41</v>
      </c>
      <c r="D8" s="1">
        <v>1021.6</v>
      </c>
      <c r="I8" t="s">
        <v>20</v>
      </c>
      <c r="J8" s="12">
        <v>316</v>
      </c>
      <c r="K8" s="12">
        <v>158</v>
      </c>
      <c r="L8" s="12"/>
      <c r="M8" s="12"/>
      <c r="N8" s="12">
        <v>158</v>
      </c>
      <c r="O8" s="12">
        <v>158</v>
      </c>
      <c r="P8" s="12"/>
      <c r="Q8" s="12">
        <v>474</v>
      </c>
      <c r="R8" s="12"/>
      <c r="S8" s="12">
        <v>158</v>
      </c>
      <c r="T8" s="12"/>
      <c r="U8" s="12">
        <v>158</v>
      </c>
      <c r="V8" s="11">
        <v>1580</v>
      </c>
    </row>
    <row r="9" spans="2:22">
      <c r="B9" t="s">
        <v>18</v>
      </c>
      <c r="C9">
        <v>66</v>
      </c>
      <c r="D9" s="1">
        <v>2235.8999999999996</v>
      </c>
      <c r="I9" t="s">
        <v>21</v>
      </c>
      <c r="J9" s="12"/>
      <c r="K9" s="12"/>
      <c r="L9" s="12"/>
      <c r="M9" s="12">
        <v>10</v>
      </c>
      <c r="N9" s="12"/>
      <c r="O9" s="12"/>
      <c r="P9" s="12">
        <v>5</v>
      </c>
      <c r="Q9" s="12"/>
      <c r="R9" s="12"/>
      <c r="S9" s="12"/>
      <c r="T9" s="12"/>
      <c r="U9" s="12"/>
      <c r="V9" s="11">
        <v>15</v>
      </c>
    </row>
    <row r="10" spans="2:22">
      <c r="B10" t="s">
        <v>22</v>
      </c>
      <c r="C10">
        <v>31</v>
      </c>
      <c r="D10" s="1">
        <v>1084.0999999999999</v>
      </c>
      <c r="I10" t="s">
        <v>24</v>
      </c>
      <c r="J10" s="12"/>
      <c r="K10" s="12"/>
      <c r="L10" s="12"/>
      <c r="M10" s="12"/>
      <c r="N10" s="12"/>
      <c r="O10" s="12"/>
      <c r="P10" s="12"/>
      <c r="Q10" s="12"/>
      <c r="R10" s="12">
        <v>42</v>
      </c>
      <c r="S10" s="12"/>
      <c r="T10" s="12">
        <v>42</v>
      </c>
      <c r="U10" s="12"/>
      <c r="V10" s="11">
        <v>84</v>
      </c>
    </row>
    <row r="11" spans="2:22">
      <c r="B11" t="s">
        <v>49</v>
      </c>
      <c r="C11">
        <v>171</v>
      </c>
      <c r="D11" s="1">
        <v>6356.7000000000025</v>
      </c>
      <c r="I11" t="s">
        <v>25</v>
      </c>
      <c r="J11" s="12"/>
      <c r="K11" s="12"/>
      <c r="L11" s="12"/>
      <c r="M11" s="12"/>
      <c r="N11" s="12"/>
      <c r="O11" s="12"/>
      <c r="P11" s="12"/>
      <c r="Q11" s="12"/>
      <c r="R11" s="12"/>
      <c r="S11" s="12">
        <v>3</v>
      </c>
      <c r="T11" s="12"/>
      <c r="U11" s="12"/>
      <c r="V11" s="11">
        <v>3</v>
      </c>
    </row>
    <row r="12" spans="2:22">
      <c r="I12" t="s">
        <v>27</v>
      </c>
      <c r="J12" s="12"/>
      <c r="K12" s="12"/>
      <c r="L12" s="12">
        <v>64</v>
      </c>
      <c r="M12" s="12"/>
      <c r="N12" s="12">
        <v>64</v>
      </c>
      <c r="O12" s="12"/>
      <c r="P12" s="12"/>
      <c r="Q12" s="12"/>
      <c r="R12" s="12"/>
      <c r="S12" s="12"/>
      <c r="T12" s="12"/>
      <c r="U12" s="12"/>
      <c r="V12" s="11">
        <v>128</v>
      </c>
    </row>
    <row r="13" spans="2:22">
      <c r="I13" t="s">
        <v>30</v>
      </c>
      <c r="J13" s="12"/>
      <c r="K13" s="12">
        <v>5</v>
      </c>
      <c r="L13" s="12"/>
      <c r="M13" s="12">
        <v>5</v>
      </c>
      <c r="N13" s="12">
        <v>5</v>
      </c>
      <c r="O13" s="12"/>
      <c r="P13" s="12"/>
      <c r="Q13" s="12"/>
      <c r="R13" s="12"/>
      <c r="S13" s="12"/>
      <c r="T13" s="12"/>
      <c r="U13" s="12"/>
      <c r="V13" s="11">
        <v>15</v>
      </c>
    </row>
    <row r="14" spans="2:22">
      <c r="B14" s="10" t="s">
        <v>47</v>
      </c>
      <c r="C14" s="10" t="s">
        <v>8</v>
      </c>
      <c r="I14" t="s">
        <v>49</v>
      </c>
      <c r="J14" s="11">
        <v>356.1</v>
      </c>
      <c r="K14" s="11">
        <v>167.9</v>
      </c>
      <c r="L14" s="11">
        <v>71.900000000000006</v>
      </c>
      <c r="M14" s="11">
        <v>25.9</v>
      </c>
      <c r="N14" s="11">
        <v>267.10000000000002</v>
      </c>
      <c r="O14" s="11">
        <v>161</v>
      </c>
      <c r="P14" s="11">
        <v>8</v>
      </c>
      <c r="Q14" s="11">
        <v>514.1</v>
      </c>
      <c r="R14" s="11">
        <v>42</v>
      </c>
      <c r="S14" s="11">
        <v>161</v>
      </c>
      <c r="T14" s="11">
        <v>42</v>
      </c>
      <c r="U14" s="11">
        <v>198.1</v>
      </c>
      <c r="V14" s="11">
        <v>2015.1</v>
      </c>
    </row>
    <row r="15" spans="2:22">
      <c r="B15" s="10" t="s">
        <v>9</v>
      </c>
      <c r="C15" t="s">
        <v>12</v>
      </c>
      <c r="D15" t="s">
        <v>15</v>
      </c>
      <c r="E15" t="s">
        <v>18</v>
      </c>
      <c r="F15" t="s">
        <v>22</v>
      </c>
      <c r="G15" t="s">
        <v>49</v>
      </c>
    </row>
    <row r="16" spans="2:22">
      <c r="B16" t="s">
        <v>13</v>
      </c>
      <c r="C16" s="1">
        <v>46.1</v>
      </c>
      <c r="D16" s="1">
        <v>73.800000000000011</v>
      </c>
      <c r="E16" s="1">
        <v>341.9</v>
      </c>
      <c r="F16" s="1">
        <v>220</v>
      </c>
      <c r="G16" s="1">
        <v>681.8</v>
      </c>
    </row>
    <row r="17" spans="2:7">
      <c r="B17" t="s">
        <v>16</v>
      </c>
      <c r="C17" s="1">
        <v>357.1</v>
      </c>
      <c r="D17" s="1">
        <v>482.20000000000005</v>
      </c>
      <c r="E17" s="1">
        <v>493.80000000000007</v>
      </c>
      <c r="F17" s="1">
        <v>152</v>
      </c>
      <c r="G17" s="1">
        <v>1485.1000000000001</v>
      </c>
    </row>
    <row r="18" spans="2:7">
      <c r="B18" t="s">
        <v>19</v>
      </c>
      <c r="C18" s="1">
        <v>855.9</v>
      </c>
      <c r="D18" s="1">
        <v>97.8</v>
      </c>
      <c r="E18" s="1">
        <v>725.30000000000007</v>
      </c>
      <c r="F18" s="1">
        <v>300.10000000000002</v>
      </c>
      <c r="G18" s="1">
        <v>1979.1</v>
      </c>
    </row>
    <row r="19" spans="2:7">
      <c r="B19" t="s">
        <v>23</v>
      </c>
      <c r="C19" s="1">
        <v>3</v>
      </c>
      <c r="D19" s="1">
        <v>14.8</v>
      </c>
      <c r="E19" s="1">
        <v>3</v>
      </c>
      <c r="F19" s="1">
        <v>3</v>
      </c>
      <c r="G19" s="1">
        <v>23.8</v>
      </c>
    </row>
    <row r="20" spans="2:7">
      <c r="B20" t="s">
        <v>28</v>
      </c>
      <c r="C20" s="1">
        <v>526</v>
      </c>
      <c r="D20" s="1">
        <v>345</v>
      </c>
      <c r="E20" s="1">
        <v>430.1</v>
      </c>
      <c r="F20" s="1">
        <v>409</v>
      </c>
      <c r="G20" s="1">
        <v>1710.1</v>
      </c>
    </row>
    <row r="21" spans="2:7">
      <c r="B21" t="s">
        <v>29</v>
      </c>
      <c r="C21" s="1">
        <v>227</v>
      </c>
      <c r="D21" s="1">
        <v>8</v>
      </c>
      <c r="E21" s="1">
        <v>241.8</v>
      </c>
      <c r="F21" s="1"/>
      <c r="G21" s="1">
        <v>476.8</v>
      </c>
    </row>
    <row r="22" spans="2:7">
      <c r="B22" t="s">
        <v>49</v>
      </c>
      <c r="C22" s="1">
        <v>2015.1</v>
      </c>
      <c r="D22" s="1">
        <v>1021.5999999999999</v>
      </c>
      <c r="E22" s="1">
        <v>2235.9</v>
      </c>
      <c r="F22" s="1">
        <v>1084.0999999999999</v>
      </c>
      <c r="G22" s="1">
        <v>6356.7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7" id="{AB7DD0E8-9A4A-48A2-A815-C9B38853B8D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C16:F16</xm:sqref>
        </x14:conditionalFormatting>
        <x14:conditionalFormatting xmlns:xm="http://schemas.microsoft.com/office/excel/2006/main" pivot="1">
          <x14:cfRule type="iconSet" priority="6" id="{DA8C85C4-CECE-4F28-A170-CE51C417DDF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C17:F17</xm:sqref>
        </x14:conditionalFormatting>
        <x14:conditionalFormatting xmlns:xm="http://schemas.microsoft.com/office/excel/2006/main" pivot="1">
          <x14:cfRule type="iconSet" priority="5" id="{7E3430D8-8610-4B83-8C3E-7BAF6F1CB48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C18:F18</xm:sqref>
        </x14:conditionalFormatting>
        <x14:conditionalFormatting xmlns:xm="http://schemas.microsoft.com/office/excel/2006/main" pivot="1">
          <x14:cfRule type="iconSet" priority="4" id="{A885544E-F1C0-48C1-A090-F84EA9F689C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C19:F19</xm:sqref>
        </x14:conditionalFormatting>
        <x14:conditionalFormatting xmlns:xm="http://schemas.microsoft.com/office/excel/2006/main" pivot="1">
          <x14:cfRule type="iconSet" priority="3" id="{81311A25-E5D8-47D9-8BBB-8209D8090B8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C20:F20</xm:sqref>
        </x14:conditionalFormatting>
        <x14:conditionalFormatting xmlns:xm="http://schemas.microsoft.com/office/excel/2006/main" pivot="1">
          <x14:cfRule type="iconSet" priority="2" id="{CC7618F4-3D11-48D4-B895-05FE2296DE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C21:F21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304B-6C7A-49C4-A0AF-5C0C92B438A2}">
  <dimension ref="B2:N19"/>
  <sheetViews>
    <sheetView tabSelected="1" workbookViewId="0">
      <selection activeCell="C4" sqref="C4"/>
    </sheetView>
  </sheetViews>
  <sheetFormatPr defaultRowHeight="15.75"/>
  <cols>
    <col min="2" max="2" width="19.375" customWidth="1"/>
    <col min="3" max="3" width="15.375" customWidth="1"/>
  </cols>
  <sheetData>
    <row r="2" spans="2:14">
      <c r="B2" s="15" t="s">
        <v>50</v>
      </c>
      <c r="C2" s="16"/>
    </row>
    <row r="3" spans="2:14">
      <c r="B3" s="17"/>
      <c r="C3" s="18"/>
    </row>
    <row r="4" spans="2:14">
      <c r="B4" s="2" t="s">
        <v>53</v>
      </c>
      <c r="C4" s="19" t="s">
        <v>15</v>
      </c>
    </row>
    <row r="5" spans="2:14">
      <c r="B5" s="2" t="s">
        <v>6</v>
      </c>
      <c r="C5" s="20">
        <f>SUMIF(Table1[Sales Person],'Calc field'!C4,Table1[Profit])</f>
        <v>1021.6</v>
      </c>
    </row>
    <row r="7" spans="2:14">
      <c r="B7" s="15" t="s">
        <v>51</v>
      </c>
      <c r="C7" s="16"/>
      <c r="D7" s="16"/>
    </row>
    <row r="8" spans="2:14">
      <c r="B8" s="9"/>
      <c r="C8" s="14" t="str" cm="1">
        <f t="array" ref="C8:N8">TRANSPOSE(_xlfn.UNIQUE(Table1[Month]))</f>
        <v>Jan</v>
      </c>
      <c r="D8" s="14" t="str">
        <v>Feb</v>
      </c>
      <c r="E8" s="14" t="str">
        <v>Mar</v>
      </c>
      <c r="F8" s="14" t="str">
        <v>April</v>
      </c>
      <c r="G8" s="14" t="str">
        <v>May</v>
      </c>
      <c r="H8" s="14" t="str">
        <v>June</v>
      </c>
      <c r="I8" s="14" t="str">
        <v>July</v>
      </c>
      <c r="J8" s="14" t="str">
        <v>Aug</v>
      </c>
      <c r="K8" s="14" t="str">
        <v>Sept</v>
      </c>
      <c r="L8" s="14" t="str">
        <v>Oct</v>
      </c>
      <c r="M8" s="14" t="str">
        <v>Nov</v>
      </c>
      <c r="N8" s="14" t="str">
        <v>Dec</v>
      </c>
    </row>
    <row r="9" spans="2:14">
      <c r="B9" s="13" t="str" cm="1">
        <f t="array" ref="B9:B18">_xlfn.UNIQUE(Table1[Product Description])</f>
        <v>Pool Cover</v>
      </c>
      <c r="C9">
        <f>SUMIFS(Dataset!$G2:$G172,Dataset!$J2:$J172,'Calc field'!$C$4,Dataset!$D2:$D172,'Calc field'!$B9,Dataset!$A2:$A172,'Calc field'!C$8)</f>
        <v>0</v>
      </c>
      <c r="D9">
        <f>SUMIFS(Dataset!$G2:$G172,Dataset!$J2:$J172,'Calc field'!$C$4,Dataset!$D2:$D172,'Calc field'!$B9,Dataset!$A2:$A172,'Calc field'!D$8)</f>
        <v>40.1</v>
      </c>
      <c r="E9">
        <f>SUMIFS(Dataset!$G2:$G172,Dataset!$J2:$J172,'Calc field'!$C$4,Dataset!$D2:$D172,'Calc field'!$B9,Dataset!$A2:$A172,'Calc field'!E$8)</f>
        <v>0</v>
      </c>
      <c r="F9">
        <f>SUMIFS(Dataset!$G2:$G172,Dataset!$J2:$J172,'Calc field'!$C$4,Dataset!$D2:$D172,'Calc field'!$B9,Dataset!$A2:$A172,'Calc field'!F$8)</f>
        <v>0</v>
      </c>
      <c r="G9">
        <f>SUMIFS(Dataset!$G2:$G172,Dataset!$J2:$J172,'Calc field'!$C$4,Dataset!$D2:$D172,'Calc field'!$B9,Dataset!$A2:$A172,'Calc field'!G$8)</f>
        <v>0</v>
      </c>
      <c r="H9">
        <f>SUMIFS(Dataset!$G2:$G172,Dataset!$J2:$J172,'Calc field'!$C$4,Dataset!$D2:$D172,'Calc field'!$B9,Dataset!$A2:$A172,'Calc field'!H$8)</f>
        <v>0</v>
      </c>
      <c r="I9">
        <f>SUMIFS(Dataset!$G2:$G172,Dataset!$J2:$J172,'Calc field'!$C$4,Dataset!$D2:$D172,'Calc field'!$B9,Dataset!$A2:$A172,'Calc field'!I$8)</f>
        <v>80.2</v>
      </c>
      <c r="J9">
        <f>SUMIFS(Dataset!$G2:$G172,Dataset!$J2:$J172,'Calc field'!$C$4,Dataset!$D2:$D172,'Calc field'!$B9,Dataset!$A2:$A172,'Calc field'!J$8)</f>
        <v>40.1</v>
      </c>
      <c r="K9">
        <f>SUMIFS(Dataset!$G2:$G172,Dataset!$J2:$J172,'Calc field'!$C$4,Dataset!$D2:$D172,'Calc field'!$B9,Dataset!$A2:$A172,'Calc field'!K$8)</f>
        <v>0</v>
      </c>
      <c r="L9">
        <f>SUMIFS(Dataset!$G2:$G172,Dataset!$J2:$J172,'Calc field'!$C$4,Dataset!$D2:$D172,'Calc field'!$B9,Dataset!$A2:$A172,'Calc field'!L$8)</f>
        <v>40.1</v>
      </c>
      <c r="M9">
        <f>SUMIFS(Dataset!$G2:$G172,Dataset!$J2:$J172,'Calc field'!$C$4,Dataset!$D2:$D172,'Calc field'!$B9,Dataset!$A2:$A172,'Calc field'!M$8)</f>
        <v>0</v>
      </c>
      <c r="N9">
        <f>SUMIFS(Dataset!$G2:$G172,Dataset!$J2:$J172,'Calc field'!$C$4,Dataset!$D2:$D172,'Calc field'!$B9,Dataset!$A2:$A172,'Calc field'!N$8)</f>
        <v>0</v>
      </c>
    </row>
    <row r="10" spans="2:14">
      <c r="B10" s="13" t="str">
        <v>Net</v>
      </c>
      <c r="C10">
        <f>SUMIFS(Dataset!$G3:$G173,Dataset!$J3:$J173,'Calc field'!$C$4,Dataset!$D3:$D173,'Calc field'!$B10,Dataset!$A3:$A173,'Calc field'!C$8)</f>
        <v>14.700000000000001</v>
      </c>
      <c r="D10">
        <f>SUMIFS(Dataset!$G3:$G173,Dataset!$J3:$J173,'Calc field'!$C$4,Dataset!$D3:$D173,'Calc field'!$B10,Dataset!$A3:$A173,'Calc field'!D$8)</f>
        <v>4.9000000000000004</v>
      </c>
      <c r="E10">
        <f>SUMIFS(Dataset!$G3:$G173,Dataset!$J3:$J173,'Calc field'!$C$4,Dataset!$D3:$D173,'Calc field'!$B10,Dataset!$A3:$A173,'Calc field'!E$8)</f>
        <v>4.9000000000000004</v>
      </c>
      <c r="F10">
        <f>SUMIFS(Dataset!$G3:$G173,Dataset!$J3:$J173,'Calc field'!$C$4,Dataset!$D3:$D173,'Calc field'!$B10,Dataset!$A3:$A173,'Calc field'!F$8)</f>
        <v>0</v>
      </c>
      <c r="G10">
        <f>SUMIFS(Dataset!$G3:$G173,Dataset!$J3:$J173,'Calc field'!$C$4,Dataset!$D3:$D173,'Calc field'!$B10,Dataset!$A3:$A173,'Calc field'!G$8)</f>
        <v>4.9000000000000004</v>
      </c>
      <c r="H10">
        <f>SUMIFS(Dataset!$G3:$G173,Dataset!$J3:$J173,'Calc field'!$C$4,Dataset!$D3:$D173,'Calc field'!$B10,Dataset!$A3:$A173,'Calc field'!H$8)</f>
        <v>9.8000000000000007</v>
      </c>
      <c r="I10">
        <f>SUMIFS(Dataset!$G3:$G173,Dataset!$J3:$J173,'Calc field'!$C$4,Dataset!$D3:$D173,'Calc field'!$B10,Dataset!$A3:$A173,'Calc field'!I$8)</f>
        <v>4.9000000000000004</v>
      </c>
      <c r="J10">
        <f>SUMIFS(Dataset!$G3:$G173,Dataset!$J3:$J173,'Calc field'!$C$4,Dataset!$D3:$D173,'Calc field'!$B10,Dataset!$A3:$A173,'Calc field'!J$8)</f>
        <v>0</v>
      </c>
      <c r="K10">
        <f>SUMIFS(Dataset!$G3:$G173,Dataset!$J3:$J173,'Calc field'!$C$4,Dataset!$D3:$D173,'Calc field'!$B10,Dataset!$A3:$A173,'Calc field'!K$8)</f>
        <v>0</v>
      </c>
      <c r="L10">
        <f>SUMIFS(Dataset!$G3:$G173,Dataset!$J3:$J173,'Calc field'!$C$4,Dataset!$D3:$D173,'Calc field'!$B10,Dataset!$A3:$A173,'Calc field'!L$8)</f>
        <v>0</v>
      </c>
      <c r="M10">
        <f>SUMIFS(Dataset!$G3:$G173,Dataset!$J3:$J173,'Calc field'!$C$4,Dataset!$D3:$D173,'Calc field'!$B10,Dataset!$A3:$A173,'Calc field'!M$8)</f>
        <v>0</v>
      </c>
      <c r="N10">
        <f>SUMIFS(Dataset!$G3:$G173,Dataset!$J3:$J173,'Calc field'!$C$4,Dataset!$D3:$D173,'Calc field'!$B10,Dataset!$A3:$A173,'Calc field'!N$8)</f>
        <v>0</v>
      </c>
    </row>
    <row r="11" spans="2:14">
      <c r="B11" s="13" t="str">
        <v>8 ft Hose</v>
      </c>
      <c r="C11">
        <f>SUMIFS(Dataset!$G4:$G174,Dataset!$J4:$J174,'Calc field'!$C$4,Dataset!$D4:$D174,'Calc field'!$B11,Dataset!$A4:$A174,'Calc field'!C$8)</f>
        <v>0</v>
      </c>
      <c r="D11">
        <f>SUMIFS(Dataset!$G4:$G174,Dataset!$J4:$J174,'Calc field'!$C$4,Dataset!$D4:$D174,'Calc field'!$B11,Dataset!$A4:$A174,'Calc field'!D$8)</f>
        <v>3</v>
      </c>
      <c r="E11">
        <f>SUMIFS(Dataset!$G4:$G174,Dataset!$J4:$J174,'Calc field'!$C$4,Dataset!$D4:$D174,'Calc field'!$B11,Dataset!$A4:$A174,'Calc field'!E$8)</f>
        <v>6</v>
      </c>
      <c r="F11">
        <f>SUMIFS(Dataset!$G4:$G174,Dataset!$J4:$J174,'Calc field'!$C$4,Dataset!$D4:$D174,'Calc field'!$B11,Dataset!$A4:$A174,'Calc field'!F$8)</f>
        <v>3</v>
      </c>
      <c r="G11">
        <f>SUMIFS(Dataset!$G4:$G174,Dataset!$J4:$J174,'Calc field'!$C$4,Dataset!$D4:$D174,'Calc field'!$B11,Dataset!$A4:$A174,'Calc field'!G$8)</f>
        <v>0</v>
      </c>
      <c r="H11">
        <f>SUMIFS(Dataset!$G4:$G174,Dataset!$J4:$J174,'Calc field'!$C$4,Dataset!$D4:$D174,'Calc field'!$B11,Dataset!$A4:$A174,'Calc field'!H$8)</f>
        <v>0</v>
      </c>
      <c r="I11">
        <f>SUMIFS(Dataset!$G4:$G174,Dataset!$J4:$J174,'Calc field'!$C$4,Dataset!$D4:$D174,'Calc field'!$B11,Dataset!$A4:$A174,'Calc field'!I$8)</f>
        <v>3</v>
      </c>
      <c r="J11">
        <f>SUMIFS(Dataset!$G4:$G174,Dataset!$J4:$J174,'Calc field'!$C$4,Dataset!$D4:$D174,'Calc field'!$B11,Dataset!$A4:$A174,'Calc field'!J$8)</f>
        <v>0</v>
      </c>
      <c r="K11">
        <f>SUMIFS(Dataset!$G4:$G174,Dataset!$J4:$J174,'Calc field'!$C$4,Dataset!$D4:$D174,'Calc field'!$B11,Dataset!$A4:$A174,'Calc field'!K$8)</f>
        <v>0</v>
      </c>
      <c r="L11">
        <f>SUMIFS(Dataset!$G4:$G174,Dataset!$J4:$J174,'Calc field'!$C$4,Dataset!$D4:$D174,'Calc field'!$B11,Dataset!$A4:$A174,'Calc field'!L$8)</f>
        <v>0</v>
      </c>
      <c r="M11">
        <f>SUMIFS(Dataset!$G4:$G174,Dataset!$J4:$J174,'Calc field'!$C$4,Dataset!$D4:$D174,'Calc field'!$B11,Dataset!$A4:$A174,'Calc field'!M$8)</f>
        <v>0</v>
      </c>
      <c r="N11">
        <f>SUMIFS(Dataset!$G4:$G174,Dataset!$J4:$J174,'Calc field'!$C$4,Dataset!$D4:$D174,'Calc field'!$B11,Dataset!$A4:$A174,'Calc field'!N$8)</f>
        <v>0</v>
      </c>
    </row>
    <row r="12" spans="2:14">
      <c r="B12" s="13" t="str">
        <v>Water Pump</v>
      </c>
      <c r="C12">
        <f>SUMIFS(Dataset!$G5:$G175,Dataset!$J5:$J175,'Calc field'!$C$4,Dataset!$D5:$D175,'Calc field'!$B12,Dataset!$A5:$A175,'Calc field'!C$8)</f>
        <v>0</v>
      </c>
      <c r="D12">
        <f>SUMIFS(Dataset!$G5:$G175,Dataset!$J5:$J175,'Calc field'!$C$4,Dataset!$D5:$D175,'Calc field'!$B12,Dataset!$A5:$A175,'Calc field'!D$8)</f>
        <v>0</v>
      </c>
      <c r="E12">
        <f>SUMIFS(Dataset!$G5:$G175,Dataset!$J5:$J175,'Calc field'!$C$4,Dataset!$D5:$D175,'Calc field'!$B12,Dataset!$A5:$A175,'Calc field'!E$8)</f>
        <v>0</v>
      </c>
      <c r="F12">
        <f>SUMIFS(Dataset!$G5:$G175,Dataset!$J5:$J175,'Calc field'!$C$4,Dataset!$D5:$D175,'Calc field'!$B12,Dataset!$A5:$A175,'Calc field'!F$8)</f>
        <v>0</v>
      </c>
      <c r="G12">
        <f>SUMIFS(Dataset!$G5:$G175,Dataset!$J5:$J175,'Calc field'!$C$4,Dataset!$D5:$D175,'Calc field'!$B12,Dataset!$A5:$A175,'Calc field'!G$8)</f>
        <v>0</v>
      </c>
      <c r="H12">
        <f>SUMIFS(Dataset!$G5:$G175,Dataset!$J5:$J175,'Calc field'!$C$4,Dataset!$D5:$D175,'Calc field'!$B12,Dataset!$A5:$A175,'Calc field'!H$8)</f>
        <v>0</v>
      </c>
      <c r="I12">
        <f>SUMIFS(Dataset!$G5:$G175,Dataset!$J5:$J175,'Calc field'!$C$4,Dataset!$D5:$D175,'Calc field'!$B12,Dataset!$A5:$A175,'Calc field'!I$8)</f>
        <v>158</v>
      </c>
      <c r="J12">
        <f>SUMIFS(Dataset!$G5:$G175,Dataset!$J5:$J175,'Calc field'!$C$4,Dataset!$D5:$D175,'Calc field'!$B12,Dataset!$A5:$A175,'Calc field'!J$8)</f>
        <v>0</v>
      </c>
      <c r="K12">
        <f>SUMIFS(Dataset!$G5:$G175,Dataset!$J5:$J175,'Calc field'!$C$4,Dataset!$D5:$D175,'Calc field'!$B12,Dataset!$A5:$A175,'Calc field'!K$8)</f>
        <v>0</v>
      </c>
      <c r="L12">
        <f>SUMIFS(Dataset!$G5:$G175,Dataset!$J5:$J175,'Calc field'!$C$4,Dataset!$D5:$D175,'Calc field'!$B12,Dataset!$A5:$A175,'Calc field'!L$8)</f>
        <v>0</v>
      </c>
      <c r="M12">
        <f>SUMIFS(Dataset!$G5:$G175,Dataset!$J5:$J175,'Calc field'!$C$4,Dataset!$D5:$D175,'Calc field'!$B12,Dataset!$A5:$A175,'Calc field'!M$8)</f>
        <v>0</v>
      </c>
      <c r="N12">
        <f>SUMIFS(Dataset!$G5:$G175,Dataset!$J5:$J175,'Calc field'!$C$4,Dataset!$D5:$D175,'Calc field'!$B12,Dataset!$A5:$A175,'Calc field'!N$8)</f>
        <v>0</v>
      </c>
    </row>
    <row r="13" spans="2:14">
      <c r="B13" s="13" t="str">
        <v>Chlorine Test Kit</v>
      </c>
      <c r="C13">
        <f>SUMIFS(Dataset!$G6:$G176,Dataset!$J6:$J176,'Calc field'!$C$4,Dataset!$D6:$D176,'Calc field'!$B13,Dataset!$A6:$A176,'Calc field'!C$8)</f>
        <v>0</v>
      </c>
      <c r="D13">
        <f>SUMIFS(Dataset!$G6:$G176,Dataset!$J6:$J176,'Calc field'!$C$4,Dataset!$D6:$D176,'Calc field'!$B13,Dataset!$A6:$A176,'Calc field'!D$8)</f>
        <v>10</v>
      </c>
      <c r="E13">
        <f>SUMIFS(Dataset!$G6:$G176,Dataset!$J6:$J176,'Calc field'!$C$4,Dataset!$D6:$D176,'Calc field'!$B13,Dataset!$A6:$A176,'Calc field'!E$8)</f>
        <v>5</v>
      </c>
      <c r="F13">
        <f>SUMIFS(Dataset!$G6:$G176,Dataset!$J6:$J176,'Calc field'!$C$4,Dataset!$D6:$D176,'Calc field'!$B13,Dataset!$A6:$A176,'Calc field'!F$8)</f>
        <v>0</v>
      </c>
      <c r="G13">
        <f>SUMIFS(Dataset!$G6:$G176,Dataset!$J6:$J176,'Calc field'!$C$4,Dataset!$D6:$D176,'Calc field'!$B13,Dataset!$A6:$A176,'Calc field'!G$8)</f>
        <v>5</v>
      </c>
      <c r="H13">
        <f>SUMIFS(Dataset!$G6:$G176,Dataset!$J6:$J176,'Calc field'!$C$4,Dataset!$D6:$D176,'Calc field'!$B13,Dataset!$A6:$A176,'Calc field'!H$8)</f>
        <v>0</v>
      </c>
      <c r="I13">
        <f>SUMIFS(Dataset!$G6:$G176,Dataset!$J6:$J176,'Calc field'!$C$4,Dataset!$D6:$D176,'Calc field'!$B13,Dataset!$A6:$A176,'Calc field'!I$8)</f>
        <v>0</v>
      </c>
      <c r="J13">
        <f>SUMIFS(Dataset!$G6:$G176,Dataset!$J6:$J176,'Calc field'!$C$4,Dataset!$D6:$D176,'Calc field'!$B13,Dataset!$A6:$A176,'Calc field'!J$8)</f>
        <v>0</v>
      </c>
      <c r="K13">
        <f>SUMIFS(Dataset!$G6:$G176,Dataset!$J6:$J176,'Calc field'!$C$4,Dataset!$D6:$D176,'Calc field'!$B13,Dataset!$A6:$A176,'Calc field'!K$8)</f>
        <v>0</v>
      </c>
      <c r="L13">
        <f>SUMIFS(Dataset!$G6:$G176,Dataset!$J6:$J176,'Calc field'!$C$4,Dataset!$D6:$D176,'Calc field'!$B13,Dataset!$A6:$A176,'Calc field'!L$8)</f>
        <v>0</v>
      </c>
      <c r="M13">
        <f>SUMIFS(Dataset!$G6:$G176,Dataset!$J6:$J176,'Calc field'!$C$4,Dataset!$D6:$D176,'Calc field'!$B13,Dataset!$A6:$A176,'Calc field'!M$8)</f>
        <v>0</v>
      </c>
      <c r="N13">
        <f>SUMIFS(Dataset!$G6:$G176,Dataset!$J6:$J176,'Calc field'!$C$4,Dataset!$D6:$D176,'Calc field'!$B13,Dataset!$A6:$A176,'Calc field'!N$8)</f>
        <v>0</v>
      </c>
    </row>
    <row r="14" spans="2:14">
      <c r="B14" s="13" t="str">
        <v>Skimmer</v>
      </c>
      <c r="C14">
        <f>SUMIFS(Dataset!$G7:$G177,Dataset!$J7:$J177,'Calc field'!$C$4,Dataset!$D7:$D177,'Calc field'!$B14,Dataset!$A7:$A177,'Calc field'!C$8)</f>
        <v>0</v>
      </c>
      <c r="D14">
        <f>SUMIFS(Dataset!$G7:$G177,Dataset!$J7:$J177,'Calc field'!$C$4,Dataset!$D7:$D177,'Calc field'!$B14,Dataset!$A7:$A177,'Calc field'!D$8)</f>
        <v>42</v>
      </c>
      <c r="E14">
        <f>SUMIFS(Dataset!$G7:$G177,Dataset!$J7:$J177,'Calc field'!$C$4,Dataset!$D7:$D177,'Calc field'!$B14,Dataset!$A7:$A177,'Calc field'!E$8)</f>
        <v>0</v>
      </c>
      <c r="F14">
        <f>SUMIFS(Dataset!$G7:$G177,Dataset!$J7:$J177,'Calc field'!$C$4,Dataset!$D7:$D177,'Calc field'!$B14,Dataset!$A7:$A177,'Calc field'!F$8)</f>
        <v>0</v>
      </c>
      <c r="G14">
        <f>SUMIFS(Dataset!$G7:$G177,Dataset!$J7:$J177,'Calc field'!$C$4,Dataset!$D7:$D177,'Calc field'!$B14,Dataset!$A7:$A177,'Calc field'!G$8)</f>
        <v>0</v>
      </c>
      <c r="H14">
        <f>SUMIFS(Dataset!$G7:$G177,Dataset!$J7:$J177,'Calc field'!$C$4,Dataset!$D7:$D177,'Calc field'!$B14,Dataset!$A7:$A177,'Calc field'!H$8)</f>
        <v>0</v>
      </c>
      <c r="I14">
        <f>SUMIFS(Dataset!$G7:$G177,Dataset!$J7:$J177,'Calc field'!$C$4,Dataset!$D7:$D177,'Calc field'!$B14,Dataset!$A7:$A177,'Calc field'!I$8)</f>
        <v>0</v>
      </c>
      <c r="J14">
        <f>SUMIFS(Dataset!$G7:$G177,Dataset!$J7:$J177,'Calc field'!$C$4,Dataset!$D7:$D177,'Calc field'!$B14,Dataset!$A7:$A177,'Calc field'!J$8)</f>
        <v>42</v>
      </c>
      <c r="K14">
        <f>SUMIFS(Dataset!$G7:$G177,Dataset!$J7:$J177,'Calc field'!$C$4,Dataset!$D7:$D177,'Calc field'!$B14,Dataset!$A7:$A177,'Calc field'!K$8)</f>
        <v>0</v>
      </c>
      <c r="L14">
        <f>SUMIFS(Dataset!$G7:$G177,Dataset!$J7:$J177,'Calc field'!$C$4,Dataset!$D7:$D177,'Calc field'!$B14,Dataset!$A7:$A177,'Calc field'!L$8)</f>
        <v>0</v>
      </c>
      <c r="M14">
        <f>SUMIFS(Dataset!$G7:$G177,Dataset!$J7:$J177,'Calc field'!$C$4,Dataset!$D7:$D177,'Calc field'!$B14,Dataset!$A7:$A177,'Calc field'!M$8)</f>
        <v>42</v>
      </c>
      <c r="N14">
        <f>SUMIFS(Dataset!$G7:$G177,Dataset!$J7:$J177,'Calc field'!$C$4,Dataset!$D7:$D177,'Calc field'!$B14,Dataset!$A7:$A177,'Calc field'!N$8)</f>
        <v>42</v>
      </c>
    </row>
    <row r="15" spans="2:14">
      <c r="B15" s="13" t="str">
        <v>1 Gal Muratic Acid</v>
      </c>
      <c r="C15">
        <f>SUMIFS(Dataset!$G8:$G178,Dataset!$J8:$J178,'Calc field'!$C$4,Dataset!$D8:$D178,'Calc field'!$B15,Dataset!$A8:$A178,'Calc field'!C$8)</f>
        <v>0</v>
      </c>
      <c r="D15">
        <f>SUMIFS(Dataset!$G8:$G178,Dataset!$J8:$J178,'Calc field'!$C$4,Dataset!$D8:$D178,'Calc field'!$B15,Dataset!$A8:$A178,'Calc field'!D$8)</f>
        <v>3</v>
      </c>
      <c r="E15">
        <f>SUMIFS(Dataset!$G8:$G178,Dataset!$J8:$J178,'Calc field'!$C$4,Dataset!$D8:$D178,'Calc field'!$B15,Dataset!$A8:$A178,'Calc field'!E$8)</f>
        <v>0</v>
      </c>
      <c r="F15">
        <f>SUMIFS(Dataset!$G8:$G178,Dataset!$J8:$J178,'Calc field'!$C$4,Dataset!$D8:$D178,'Calc field'!$B15,Dataset!$A8:$A178,'Calc field'!F$8)</f>
        <v>0</v>
      </c>
      <c r="G15">
        <f>SUMIFS(Dataset!$G8:$G178,Dataset!$J8:$J178,'Calc field'!$C$4,Dataset!$D8:$D178,'Calc field'!$B15,Dataset!$A8:$A178,'Calc field'!G$8)</f>
        <v>0</v>
      </c>
      <c r="H15">
        <f>SUMIFS(Dataset!$G8:$G178,Dataset!$J8:$J178,'Calc field'!$C$4,Dataset!$D8:$D178,'Calc field'!$B15,Dataset!$A8:$A178,'Calc field'!H$8)</f>
        <v>0</v>
      </c>
      <c r="I15">
        <f>SUMIFS(Dataset!$G8:$G178,Dataset!$J8:$J178,'Calc field'!$C$4,Dataset!$D8:$D178,'Calc field'!$B15,Dataset!$A8:$A178,'Calc field'!I$8)</f>
        <v>0</v>
      </c>
      <c r="J15">
        <f>SUMIFS(Dataset!$G8:$G178,Dataset!$J8:$J178,'Calc field'!$C$4,Dataset!$D8:$D178,'Calc field'!$B15,Dataset!$A8:$A178,'Calc field'!J$8)</f>
        <v>3</v>
      </c>
      <c r="K15">
        <f>SUMIFS(Dataset!$G8:$G178,Dataset!$J8:$J178,'Calc field'!$C$4,Dataset!$D8:$D178,'Calc field'!$B15,Dataset!$A8:$A178,'Calc field'!K$8)</f>
        <v>0</v>
      </c>
      <c r="L15">
        <f>SUMIFS(Dataset!$G8:$G178,Dataset!$J8:$J178,'Calc field'!$C$4,Dataset!$D8:$D178,'Calc field'!$B15,Dataset!$A8:$A178,'Calc field'!L$8)</f>
        <v>0</v>
      </c>
      <c r="M15">
        <f>SUMIFS(Dataset!$G8:$G178,Dataset!$J8:$J178,'Calc field'!$C$4,Dataset!$D8:$D178,'Calc field'!$B15,Dataset!$A8:$A178,'Calc field'!M$8)</f>
        <v>0</v>
      </c>
      <c r="N15">
        <f>SUMIFS(Dataset!$G8:$G178,Dataset!$J8:$J178,'Calc field'!$C$4,Dataset!$D8:$D178,'Calc field'!$B15,Dataset!$A8:$A178,'Calc field'!N$8)</f>
        <v>0</v>
      </c>
    </row>
    <row r="16" spans="2:14">
      <c r="B16" s="13" t="str">
        <v>AutoVac</v>
      </c>
      <c r="C16">
        <f>SUMIFS(Dataset!$G9:$G179,Dataset!$J9:$J179,'Calc field'!$C$4,Dataset!$D9:$D179,'Calc field'!$B16,Dataset!$A9:$A179,'Calc field'!C$8)</f>
        <v>0</v>
      </c>
      <c r="D16">
        <f>SUMIFS(Dataset!$G9:$G179,Dataset!$J9:$J179,'Calc field'!$C$4,Dataset!$D9:$D179,'Calc field'!$B16,Dataset!$A9:$A179,'Calc field'!D$8)</f>
        <v>64</v>
      </c>
      <c r="E16">
        <f>SUMIFS(Dataset!$G9:$G179,Dataset!$J9:$J179,'Calc field'!$C$4,Dataset!$D9:$D179,'Calc field'!$B16,Dataset!$A9:$A179,'Calc field'!E$8)</f>
        <v>0</v>
      </c>
      <c r="F16">
        <f>SUMIFS(Dataset!$G9:$G179,Dataset!$J9:$J179,'Calc field'!$C$4,Dataset!$D9:$D179,'Calc field'!$B16,Dataset!$A9:$A179,'Calc field'!F$8)</f>
        <v>0</v>
      </c>
      <c r="G16">
        <f>SUMIFS(Dataset!$G9:$G179,Dataset!$J9:$J179,'Calc field'!$C$4,Dataset!$D9:$D179,'Calc field'!$B16,Dataset!$A9:$A179,'Calc field'!G$8)</f>
        <v>0</v>
      </c>
      <c r="H16">
        <f>SUMIFS(Dataset!$G9:$G179,Dataset!$J9:$J179,'Calc field'!$C$4,Dataset!$D9:$D179,'Calc field'!$B16,Dataset!$A9:$A179,'Calc field'!H$8)</f>
        <v>0</v>
      </c>
      <c r="I16">
        <f>SUMIFS(Dataset!$G9:$G179,Dataset!$J9:$J179,'Calc field'!$C$4,Dataset!$D9:$D179,'Calc field'!$B16,Dataset!$A9:$A179,'Calc field'!I$8)</f>
        <v>128</v>
      </c>
      <c r="J16">
        <f>SUMIFS(Dataset!$G9:$G179,Dataset!$J9:$J179,'Calc field'!$C$4,Dataset!$D9:$D179,'Calc field'!$B16,Dataset!$A9:$A179,'Calc field'!J$8)</f>
        <v>0</v>
      </c>
      <c r="K16">
        <f>SUMIFS(Dataset!$G9:$G179,Dataset!$J9:$J179,'Calc field'!$C$4,Dataset!$D9:$D179,'Calc field'!$B16,Dataset!$A9:$A179,'Calc field'!K$8)</f>
        <v>64</v>
      </c>
      <c r="L16">
        <f>SUMIFS(Dataset!$G9:$G179,Dataset!$J9:$J179,'Calc field'!$C$4,Dataset!$D9:$D179,'Calc field'!$B16,Dataset!$A9:$A179,'Calc field'!L$8)</f>
        <v>64</v>
      </c>
      <c r="M16">
        <f>SUMIFS(Dataset!$G9:$G179,Dataset!$J9:$J179,'Calc field'!$C$4,Dataset!$D9:$D179,'Calc field'!$B16,Dataset!$A9:$A179,'Calc field'!M$8)</f>
        <v>0</v>
      </c>
      <c r="N16">
        <f>SUMIFS(Dataset!$G9:$G179,Dataset!$J9:$J179,'Calc field'!$C$4,Dataset!$D9:$D179,'Calc field'!$B16,Dataset!$A9:$A179,'Calc field'!N$8)</f>
        <v>0</v>
      </c>
    </row>
    <row r="17" spans="2:14">
      <c r="B17" s="13" t="str">
        <v>Algea Killer 8 oz</v>
      </c>
      <c r="C17">
        <f>SUMIFS(Dataset!$G10:$G180,Dataset!$J10:$J180,'Calc field'!$C$4,Dataset!$D10:$D180,'Calc field'!$B17,Dataset!$A10:$A180,'Calc field'!C$8)</f>
        <v>0</v>
      </c>
      <c r="D17">
        <f>SUMIFS(Dataset!$G10:$G180,Dataset!$J10:$J180,'Calc field'!$C$4,Dataset!$D10:$D180,'Calc field'!$B17,Dataset!$A10:$A180,'Calc field'!D$8)</f>
        <v>0</v>
      </c>
      <c r="E17">
        <f>SUMIFS(Dataset!$G10:$G180,Dataset!$J10:$J180,'Calc field'!$C$4,Dataset!$D10:$D180,'Calc field'!$B17,Dataset!$A10:$A180,'Calc field'!E$8)</f>
        <v>5</v>
      </c>
      <c r="F17">
        <f>SUMIFS(Dataset!$G10:$G180,Dataset!$J10:$J180,'Calc field'!$C$4,Dataset!$D10:$D180,'Calc field'!$B17,Dataset!$A10:$A180,'Calc field'!F$8)</f>
        <v>5</v>
      </c>
      <c r="G17">
        <f>SUMIFS(Dataset!$G10:$G180,Dataset!$J10:$J180,'Calc field'!$C$4,Dataset!$D10:$D180,'Calc field'!$B17,Dataset!$A10:$A180,'Calc field'!G$8)</f>
        <v>5</v>
      </c>
      <c r="H17">
        <f>SUMIFS(Dataset!$G10:$G180,Dataset!$J10:$J180,'Calc field'!$C$4,Dataset!$D10:$D180,'Calc field'!$B17,Dataset!$A10:$A180,'Calc field'!H$8)</f>
        <v>5</v>
      </c>
      <c r="I17">
        <f>SUMIFS(Dataset!$G10:$G180,Dataset!$J10:$J180,'Calc field'!$C$4,Dataset!$D10:$D180,'Calc field'!$B17,Dataset!$A10:$A180,'Calc field'!I$8)</f>
        <v>0</v>
      </c>
      <c r="J17">
        <f>SUMIFS(Dataset!$G10:$G180,Dataset!$J10:$J180,'Calc field'!$C$4,Dataset!$D10:$D180,'Calc field'!$B17,Dataset!$A10:$A180,'Calc field'!J$8)</f>
        <v>0</v>
      </c>
      <c r="K17">
        <f>SUMIFS(Dataset!$G10:$G180,Dataset!$J10:$J180,'Calc field'!$C$4,Dataset!$D10:$D180,'Calc field'!$B17,Dataset!$A10:$A180,'Calc field'!K$8)</f>
        <v>0</v>
      </c>
      <c r="L17">
        <f>SUMIFS(Dataset!$G10:$G180,Dataset!$J10:$J180,'Calc field'!$C$4,Dataset!$D10:$D180,'Calc field'!$B17,Dataset!$A10:$A180,'Calc field'!L$8)</f>
        <v>0</v>
      </c>
      <c r="M17">
        <f>SUMIFS(Dataset!$G10:$G180,Dataset!$J10:$J180,'Calc field'!$C$4,Dataset!$D10:$D180,'Calc field'!$B17,Dataset!$A10:$A180,'Calc field'!M$8)</f>
        <v>0</v>
      </c>
      <c r="N17">
        <f>SUMIFS(Dataset!$G10:$G180,Dataset!$J10:$J180,'Calc field'!$C$4,Dataset!$D10:$D180,'Calc field'!$B17,Dataset!$A10:$A180,'Calc field'!N$8)</f>
        <v>0</v>
      </c>
    </row>
    <row r="18" spans="2:14">
      <c r="B18" s="13" t="str">
        <v>5 Gal Chlorine</v>
      </c>
      <c r="C18">
        <f>SUMIFS(Dataset!$G11:$G181,Dataset!$J11:$J181,'Calc field'!$C$4,Dataset!$D11:$D181,'Calc field'!$B18,Dataset!$A11:$A181,'Calc field'!C$8)</f>
        <v>0</v>
      </c>
      <c r="D18">
        <f>SUMIFS(Dataset!$G11:$G181,Dataset!$J11:$J181,'Calc field'!$C$4,Dataset!$D11:$D181,'Calc field'!$B18,Dataset!$A11:$A181,'Calc field'!D$8)</f>
        <v>0</v>
      </c>
      <c r="E18">
        <f>SUMIFS(Dataset!$G11:$G181,Dataset!$J11:$J181,'Calc field'!$C$4,Dataset!$D11:$D181,'Calc field'!$B18,Dataset!$A11:$A181,'Calc field'!E$8)</f>
        <v>35</v>
      </c>
      <c r="F18">
        <f>SUMIFS(Dataset!$G11:$G181,Dataset!$J11:$J181,'Calc field'!$C$4,Dataset!$D11:$D181,'Calc field'!$B18,Dataset!$A11:$A181,'Calc field'!F$8)</f>
        <v>0</v>
      </c>
      <c r="G18">
        <f>SUMIFS(Dataset!$G11:$G181,Dataset!$J11:$J181,'Calc field'!$C$4,Dataset!$D11:$D181,'Calc field'!$B18,Dataset!$A11:$A181,'Calc field'!G$8)</f>
        <v>0</v>
      </c>
      <c r="H18">
        <f>SUMIFS(Dataset!$G11:$G181,Dataset!$J11:$J181,'Calc field'!$C$4,Dataset!$D11:$D181,'Calc field'!$B18,Dataset!$A11:$A181,'Calc field'!H$8)</f>
        <v>0</v>
      </c>
      <c r="I18">
        <f>SUMIFS(Dataset!$G11:$G181,Dataset!$J11:$J181,'Calc field'!$C$4,Dataset!$D11:$D181,'Calc field'!$B18,Dataset!$A11:$A181,'Calc field'!I$8)</f>
        <v>0</v>
      </c>
      <c r="J18">
        <f>SUMIFS(Dataset!$G11:$G181,Dataset!$J11:$J181,'Calc field'!$C$4,Dataset!$D11:$D181,'Calc field'!$B18,Dataset!$A11:$A181,'Calc field'!J$8)</f>
        <v>35</v>
      </c>
      <c r="K18">
        <f>SUMIFS(Dataset!$G11:$G181,Dataset!$J11:$J181,'Calc field'!$C$4,Dataset!$D11:$D181,'Calc field'!$B18,Dataset!$A11:$A181,'Calc field'!K$8)</f>
        <v>0</v>
      </c>
      <c r="L18">
        <f>SUMIFS(Dataset!$G11:$G181,Dataset!$J11:$J181,'Calc field'!$C$4,Dataset!$D11:$D181,'Calc field'!$B18,Dataset!$A11:$A181,'Calc field'!L$8)</f>
        <v>0</v>
      </c>
      <c r="M18">
        <f>SUMIFS(Dataset!$G11:$G181,Dataset!$J11:$J181,'Calc field'!$C$4,Dataset!$D11:$D181,'Calc field'!$B18,Dataset!$A11:$A181,'Calc field'!M$8)</f>
        <v>0</v>
      </c>
      <c r="N18">
        <f>SUMIFS(Dataset!$G11:$G181,Dataset!$J11:$J181,'Calc field'!$C$4,Dataset!$D11:$D181,'Calc field'!$B18,Dataset!$A11:$A181,'Calc field'!N$8)</f>
        <v>0</v>
      </c>
    </row>
    <row r="19" spans="2:14">
      <c r="B19" s="9" t="s">
        <v>52</v>
      </c>
      <c r="C19" s="21">
        <f t="shared" ref="C19:N19" si="0">SUM(C9:C18)</f>
        <v>14.700000000000001</v>
      </c>
      <c r="D19" s="21">
        <f t="shared" si="0"/>
        <v>167</v>
      </c>
      <c r="E19" s="21">
        <f t="shared" si="0"/>
        <v>55.9</v>
      </c>
      <c r="F19" s="21">
        <f t="shared" si="0"/>
        <v>8</v>
      </c>
      <c r="G19" s="21">
        <f t="shared" si="0"/>
        <v>14.9</v>
      </c>
      <c r="H19" s="21">
        <f t="shared" si="0"/>
        <v>14.8</v>
      </c>
      <c r="I19" s="21">
        <f t="shared" si="0"/>
        <v>374.1</v>
      </c>
      <c r="J19" s="21">
        <f t="shared" si="0"/>
        <v>120.1</v>
      </c>
      <c r="K19" s="21">
        <f t="shared" si="0"/>
        <v>64</v>
      </c>
      <c r="L19" s="21">
        <f t="shared" si="0"/>
        <v>104.1</v>
      </c>
      <c r="M19" s="21">
        <f t="shared" si="0"/>
        <v>42</v>
      </c>
      <c r="N19" s="21">
        <f t="shared" si="0"/>
        <v>42</v>
      </c>
    </row>
  </sheetData>
  <conditionalFormatting sqref="C9:N18"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915D8B-3FE7-4208-A8C9-92BCB167FE92}">
          <x14:formula1>
            <xm:f>Dataset!$M$4:$M$7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Dataset</vt:lpstr>
      <vt:lpstr>pivot analysis</vt:lpstr>
      <vt:lpstr>Calc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HP</cp:lastModifiedBy>
  <dcterms:created xsi:type="dcterms:W3CDTF">2014-06-11T22:14:00Z</dcterms:created>
  <dcterms:modified xsi:type="dcterms:W3CDTF">2026-06-09T03:50:54Z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4AE59101A5D947969A0198CCE2B3642A_12</vt:lpwstr>
  </property>
  <property fmtid="{D5CDD505-2E9C-101B-9397-08002B2CF9AE}" pid="3" name="KSOProductBuildVer">
    <vt:lpwstr>1033-12.2.0.21931</vt:lpwstr>
  </property>
</Properties>
</file>